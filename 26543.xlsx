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/>
  <mc:AlternateContent xmlns:mc="http://schemas.openxmlformats.org/markup-compatibility/2006">
    <mc:Choice Requires="x15">
      <x15ac:absPath xmlns:x15ac="http://schemas.microsoft.com/office/spreadsheetml/2010/11/ac" url="/Users/user/Desktop/07:01 /"/>
    </mc:Choice>
  </mc:AlternateContent>
  <xr:revisionPtr revIDLastSave="0" documentId="8_{D8E9B79E-9576-3948-9F89-81025895E092}" xr6:coauthVersionLast="40" xr6:coauthVersionMax="40" xr10:uidLastSave="{00000000-0000-0000-0000-000000000000}"/>
  <bookViews>
    <workbookView xWindow="0" yWindow="0" windowWidth="28800" windowHeight="18000" firstSheet="1" activeTab="2" xr2:uid="{C4418299-5C54-4272-BCDC-793AA65EDA87}"/>
  </bookViews>
  <sheets>
    <sheet name="Step1" sheetId="2" r:id="rId1"/>
    <sheet name="Step2" sheetId="3" r:id="rId2"/>
    <sheet name="Step3" sheetId="4" r:id="rId3"/>
    <sheet name="課題１（step4-1）" sheetId="5" r:id="rId4"/>
    <sheet name="課題２（step4-2）" sheetId="6" r:id="rId5"/>
    <sheet name="Sheet3" sheetId="12" r:id="rId6"/>
    <sheet name="Step5" sheetId="7" r:id="rId7"/>
    <sheet name="Sheet4" sheetId="13" r:id="rId8"/>
    <sheet name="Step6" sheetId="8" r:id="rId9"/>
    <sheet name="チャレンジ課題１" sheetId="9" r:id="rId10"/>
    <sheet name="Sheet5" sheetId="14" r:id="rId11"/>
  </sheets>
  <definedNames>
    <definedName name="_xlnm._FilterDatabase" localSheetId="6" hidden="1">Step5!$B$3:$I$19</definedName>
    <definedName name="_xlnm._FilterDatabase" localSheetId="8" hidden="1">Step6!$B$5:$I$21</definedName>
    <definedName name="_xlchart.v1.0" hidden="1">Step2!$A$10</definedName>
    <definedName name="_xlchart.v1.1" hidden="1">Step2!$A$4</definedName>
    <definedName name="_xlchart.v1.10" hidden="1">Step2!$B$5:$H$5</definedName>
    <definedName name="_xlchart.v1.11" hidden="1">Step2!$B$6:$H$6</definedName>
    <definedName name="_xlchart.v1.12" hidden="1">Step2!$B$7:$H$7</definedName>
    <definedName name="_xlchart.v1.13" hidden="1">Step2!$B$8:$H$8</definedName>
    <definedName name="_xlchart.v1.14" hidden="1">Step2!$B$9:$H$9</definedName>
    <definedName name="_xlchart.v1.15" hidden="1">Step2!$A$10</definedName>
    <definedName name="_xlchart.v1.16" hidden="1">Step2!$A$4</definedName>
    <definedName name="_xlchart.v1.17" hidden="1">Step2!$A$5</definedName>
    <definedName name="_xlchart.v1.18" hidden="1">Step2!$A$6</definedName>
    <definedName name="_xlchart.v1.19" hidden="1">Step2!$A$7</definedName>
    <definedName name="_xlchart.v1.2" hidden="1">Step2!$A$5</definedName>
    <definedName name="_xlchart.v1.20" hidden="1">Step2!$A$8</definedName>
    <definedName name="_xlchart.v1.21" hidden="1">Step2!$A$9</definedName>
    <definedName name="_xlchart.v1.22" hidden="1">Step2!$B$10:$H$10</definedName>
    <definedName name="_xlchart.v1.23" hidden="1">Step2!$B$3:$H$3</definedName>
    <definedName name="_xlchart.v1.24" hidden="1">Step2!$B$4:$H$4</definedName>
    <definedName name="_xlchart.v1.25" hidden="1">Step2!$B$5:$H$5</definedName>
    <definedName name="_xlchart.v1.26" hidden="1">Step2!$B$6:$H$6</definedName>
    <definedName name="_xlchart.v1.27" hidden="1">Step2!$B$7:$H$7</definedName>
    <definedName name="_xlchart.v1.28" hidden="1">Step2!$B$8:$H$8</definedName>
    <definedName name="_xlchart.v1.29" hidden="1">Step2!$B$9:$H$9</definedName>
    <definedName name="_xlchart.v1.3" hidden="1">Step2!$A$6</definedName>
    <definedName name="_xlchart.v1.30" hidden="1">Step2!$A$10</definedName>
    <definedName name="_xlchart.v1.31" hidden="1">Step2!$A$4</definedName>
    <definedName name="_xlchart.v1.32" hidden="1">Step2!$A$5</definedName>
    <definedName name="_xlchart.v1.33" hidden="1">Step2!$A$6</definedName>
    <definedName name="_xlchart.v1.34" hidden="1">Step2!$A$7</definedName>
    <definedName name="_xlchart.v1.35" hidden="1">Step2!$A$8</definedName>
    <definedName name="_xlchart.v1.36" hidden="1">Step2!$A$9</definedName>
    <definedName name="_xlchart.v1.37" hidden="1">Step2!$B$10:$H$10</definedName>
    <definedName name="_xlchart.v1.38" hidden="1">Step2!$B$3:$H$3</definedName>
    <definedName name="_xlchart.v1.39" hidden="1">Step2!$B$4:$H$4</definedName>
    <definedName name="_xlchart.v1.4" hidden="1">Step2!$A$7</definedName>
    <definedName name="_xlchart.v1.40" hidden="1">Step2!$B$5:$H$5</definedName>
    <definedName name="_xlchart.v1.41" hidden="1">Step2!$B$6:$H$6</definedName>
    <definedName name="_xlchart.v1.42" hidden="1">Step2!$B$7:$H$7</definedName>
    <definedName name="_xlchart.v1.43" hidden="1">Step2!$B$8:$H$8</definedName>
    <definedName name="_xlchart.v1.44" hidden="1">Step2!$B$9:$H$9</definedName>
    <definedName name="_xlchart.v1.45" hidden="1">Sheet3!$A$4:$A$10</definedName>
    <definedName name="_xlchart.v1.46" hidden="1">Sheet3!$B$3</definedName>
    <definedName name="_xlchart.v1.47" hidden="1">Sheet3!$B$4:$B$10</definedName>
    <definedName name="_xlchart.v1.48" hidden="1">Sheet3!$C$3</definedName>
    <definedName name="_xlchart.v1.49" hidden="1">Sheet3!$C$4:$C$10</definedName>
    <definedName name="_xlchart.v1.5" hidden="1">Step2!$A$8</definedName>
    <definedName name="_xlchart.v1.50" hidden="1">Sheet3!$D$3</definedName>
    <definedName name="_xlchart.v1.51" hidden="1">Sheet3!$D$4:$D$10</definedName>
    <definedName name="_xlchart.v1.52" hidden="1">Sheet3!$A$4:$A$10</definedName>
    <definedName name="_xlchart.v1.53" hidden="1">Sheet3!$B$3</definedName>
    <definedName name="_xlchart.v1.54" hidden="1">Sheet3!$B$4:$B$10</definedName>
    <definedName name="_xlchart.v1.55" hidden="1">Sheet3!$C$3</definedName>
    <definedName name="_xlchart.v1.56" hidden="1">Sheet3!$C$4:$C$10</definedName>
    <definedName name="_xlchart.v1.57" hidden="1">Sheet3!$D$3</definedName>
    <definedName name="_xlchart.v1.58" hidden="1">Sheet3!$D$4:$D$10</definedName>
    <definedName name="_xlchart.v1.59" hidden="1">Sheet5!$A$5:$B$17</definedName>
    <definedName name="_xlchart.v1.6" hidden="1">Step2!$A$9</definedName>
    <definedName name="_xlchart.v1.60" hidden="1">Sheet5!$C$4</definedName>
    <definedName name="_xlchart.v1.61" hidden="1">Sheet5!$C$5:$C$17</definedName>
    <definedName name="_xlchart.v1.62" hidden="1">Sheet5!$D$4</definedName>
    <definedName name="_xlchart.v1.63" hidden="1">Sheet5!$D$5:$D$17</definedName>
    <definedName name="_xlchart.v1.7" hidden="1">Step2!$B$10:$H$10</definedName>
    <definedName name="_xlchart.v1.8" hidden="1">Step2!$B$3:$H$3</definedName>
    <definedName name="_xlchart.v1.9" hidden="1">Step2!$B$4:$H$4</definedName>
    <definedName name="_xlnm.Criteria" localSheetId="6">Step5!$B$3:$H$3</definedName>
    <definedName name="_xlnm.Criteria" localSheetId="8">Step6!$B$5:$H$5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8" i="14" l="1"/>
  <c r="D18" i="14"/>
  <c r="C18" i="14"/>
  <c r="E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5" i="9"/>
  <c r="E14" i="9"/>
  <c r="E13" i="9"/>
  <c r="E12" i="9"/>
  <c r="E11" i="9"/>
  <c r="E10" i="9"/>
  <c r="B11" i="12"/>
  <c r="C11" i="12"/>
  <c r="D11" i="12"/>
  <c r="E11" i="12"/>
  <c r="E10" i="12"/>
  <c r="E9" i="12"/>
  <c r="E8" i="12"/>
  <c r="E7" i="12"/>
  <c r="E6" i="12"/>
  <c r="E5" i="12"/>
  <c r="E4" i="12"/>
  <c r="E4" i="5"/>
  <c r="E5" i="5"/>
  <c r="E6" i="5"/>
  <c r="E7" i="5"/>
  <c r="E8" i="5"/>
  <c r="E9" i="5"/>
  <c r="E10" i="5"/>
  <c r="B11" i="5"/>
  <c r="C11" i="5"/>
  <c r="D11" i="5"/>
  <c r="E11" i="5"/>
  <c r="I4" i="3"/>
  <c r="I5" i="3"/>
  <c r="I6" i="3"/>
  <c r="I7" i="3"/>
  <c r="I8" i="3"/>
  <c r="I9" i="3"/>
  <c r="I10" i="3"/>
  <c r="B11" i="3"/>
  <c r="C11" i="3"/>
  <c r="D11" i="3"/>
  <c r="E11" i="3"/>
  <c r="F11" i="3"/>
  <c r="G11" i="3"/>
  <c r="H11" i="3"/>
  <c r="I11" i="3"/>
  <c r="E4" i="2"/>
  <c r="E5" i="2"/>
  <c r="B6" i="2"/>
  <c r="C6" i="2"/>
  <c r="D6" i="2"/>
  <c r="E6" i="2"/>
</calcChain>
</file>

<file path=xl/sharedStrings.xml><?xml version="1.0" encoding="utf-8"?>
<sst xmlns="http://schemas.openxmlformats.org/spreadsheetml/2006/main" count="341" uniqueCount="132">
  <si>
    <t>合計</t>
    <rPh sb="0" eb="2">
      <t>ゴウケイ</t>
    </rPh>
    <phoneticPr fontId="1"/>
  </si>
  <si>
    <t>合計</t>
    <rPh sb="0" eb="2">
      <t>ゴウケイ</t>
    </rPh>
    <phoneticPr fontId="2"/>
  </si>
  <si>
    <t>女</t>
    <rPh sb="0" eb="1">
      <t>オンナ</t>
    </rPh>
    <phoneticPr fontId="2"/>
  </si>
  <si>
    <t>男</t>
    <rPh sb="0" eb="1">
      <t>オトコ</t>
    </rPh>
    <phoneticPr fontId="2"/>
  </si>
  <si>
    <t>クラスC</t>
    <phoneticPr fontId="2"/>
  </si>
  <si>
    <t>クラスB</t>
    <phoneticPr fontId="2"/>
  </si>
  <si>
    <t>クラスA</t>
    <phoneticPr fontId="2"/>
  </si>
  <si>
    <t>性別</t>
    <rPh sb="0" eb="2">
      <t>セイベツ</t>
    </rPh>
    <phoneticPr fontId="2"/>
  </si>
  <si>
    <t>クラスメートの構成（男女別）</t>
    <rPh sb="7" eb="9">
      <t>コウセイ</t>
    </rPh>
    <rPh sb="10" eb="12">
      <t>ダンジョ</t>
    </rPh>
    <rPh sb="12" eb="13">
      <t>ベツ</t>
    </rPh>
    <phoneticPr fontId="2"/>
  </si>
  <si>
    <t>問題　円グラフを作りましょう</t>
    <rPh sb="0" eb="2">
      <t>モンダイ</t>
    </rPh>
    <rPh sb="3" eb="4">
      <t>エン</t>
    </rPh>
    <rPh sb="8" eb="9">
      <t>ツク</t>
    </rPh>
    <phoneticPr fontId="2"/>
  </si>
  <si>
    <t>ドラゴンジャンプ</t>
  </si>
  <si>
    <t>ドキドキレール</t>
  </si>
  <si>
    <t>エアーバトラー</t>
  </si>
  <si>
    <t>ミラクルコースター</t>
  </si>
  <si>
    <t>メリーゴーランド</t>
  </si>
  <si>
    <t>クイックコースター</t>
  </si>
  <si>
    <t>スカイドライブ</t>
  </si>
  <si>
    <t>60歳～</t>
    <rPh sb="2" eb="3">
      <t>サイ</t>
    </rPh>
    <phoneticPr fontId="1"/>
  </si>
  <si>
    <t>50歳代</t>
    <rPh sb="2" eb="3">
      <t>サイ</t>
    </rPh>
    <rPh sb="3" eb="4">
      <t>ダイ</t>
    </rPh>
    <phoneticPr fontId="1"/>
  </si>
  <si>
    <t>40歳代</t>
    <rPh sb="2" eb="3">
      <t>サイ</t>
    </rPh>
    <rPh sb="3" eb="4">
      <t>ダイ</t>
    </rPh>
    <phoneticPr fontId="1"/>
  </si>
  <si>
    <t>30歳代</t>
    <rPh sb="2" eb="3">
      <t>サイ</t>
    </rPh>
    <rPh sb="3" eb="4">
      <t>ダイ</t>
    </rPh>
    <phoneticPr fontId="1"/>
  </si>
  <si>
    <t>20歳代</t>
    <rPh sb="2" eb="3">
      <t>サイ</t>
    </rPh>
    <rPh sb="3" eb="4">
      <t>ダイ</t>
    </rPh>
    <phoneticPr fontId="1"/>
  </si>
  <si>
    <t>10歳代</t>
    <rPh sb="2" eb="3">
      <t>サイ</t>
    </rPh>
    <rPh sb="3" eb="4">
      <t>ダイ</t>
    </rPh>
    <phoneticPr fontId="1"/>
  </si>
  <si>
    <t>0～9歳</t>
    <rPh sb="3" eb="4">
      <t>サイ</t>
    </rPh>
    <phoneticPr fontId="1"/>
  </si>
  <si>
    <t>アトラクション</t>
  </si>
  <si>
    <t>単位：千人</t>
    <rPh sb="0" eb="2">
      <t>タンイ</t>
    </rPh>
    <rPh sb="3" eb="4">
      <t>セン</t>
    </rPh>
    <rPh sb="4" eb="5">
      <t>ニン</t>
    </rPh>
    <phoneticPr fontId="1"/>
  </si>
  <si>
    <t>キングスランドアトラクション利用者数</t>
    <rPh sb="14" eb="16">
      <t>リヨウ</t>
    </rPh>
    <rPh sb="16" eb="17">
      <t>シャ</t>
    </rPh>
    <rPh sb="17" eb="18">
      <t>スウ</t>
    </rPh>
    <phoneticPr fontId="1"/>
  </si>
  <si>
    <t>問題　棒グラフを作りましょう</t>
    <rPh sb="0" eb="2">
      <t>モンダイ</t>
    </rPh>
    <rPh sb="3" eb="4">
      <t>ボウ</t>
    </rPh>
    <rPh sb="8" eb="9">
      <t>ツク</t>
    </rPh>
    <phoneticPr fontId="2"/>
  </si>
  <si>
    <t>各都市の平均気温</t>
    <rPh sb="0" eb="3">
      <t>カクトシ</t>
    </rPh>
    <rPh sb="4" eb="6">
      <t>ヘイキン</t>
    </rPh>
    <rPh sb="6" eb="8">
      <t>キオン</t>
    </rPh>
    <phoneticPr fontId="2"/>
  </si>
  <si>
    <t>1月</t>
    <rPh sb="1" eb="2">
      <t>ガツ</t>
    </rPh>
    <phoneticPr fontId="2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</si>
  <si>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</si>
  <si>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</si>
  <si>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</si>
  <si>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</si>
  <si>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</si>
  <si>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</si>
  <si>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</si>
  <si>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</si>
  <si>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</si>
  <si>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</si>
  <si>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</si>
  <si>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札幌</t>
    <rPh sb="0" eb="2">
      <t>サッポロ</t>
    </rPh>
    <phoneticPr fontId="2"/>
  </si>
  <si>
    <t>東京</t>
    <rPh sb="0" eb="2">
      <t>トウキョウ</t>
    </rPh>
    <phoneticPr fontId="2"/>
  </si>
  <si>
    <t>那覇</t>
    <rPh sb="0" eb="2">
      <t>ナハ</t>
    </rPh>
    <phoneticPr fontId="2"/>
  </si>
  <si>
    <t>問題　折れ線グラフを作りましょう</t>
    <rPh sb="0" eb="2">
      <t>モンダイ</t>
    </rPh>
    <rPh sb="3" eb="4">
      <t>オ</t>
    </rPh>
    <rPh sb="5" eb="6">
      <t>セン</t>
    </rPh>
    <rPh sb="10" eb="11">
      <t>ツク</t>
    </rPh>
    <phoneticPr fontId="2"/>
  </si>
  <si>
    <t>合計</t>
    <rPh sb="0" eb="2">
      <t>ゴウケイ</t>
    </rPh>
    <phoneticPr fontId="9"/>
  </si>
  <si>
    <t>モンゴル</t>
    <phoneticPr fontId="9"/>
  </si>
  <si>
    <t>中国</t>
    <rPh sb="0" eb="2">
      <t>チュウゴク</t>
    </rPh>
    <phoneticPr fontId="9"/>
  </si>
  <si>
    <t>スリランカ</t>
    <phoneticPr fontId="9"/>
  </si>
  <si>
    <t>ミャンマー</t>
    <phoneticPr fontId="9"/>
  </si>
  <si>
    <t>ネパール</t>
    <phoneticPr fontId="9"/>
  </si>
  <si>
    <t>バングラディッシュ</t>
    <phoneticPr fontId="9"/>
  </si>
  <si>
    <t>ベトナム</t>
    <phoneticPr fontId="9"/>
  </si>
  <si>
    <t>クラスC</t>
    <phoneticPr fontId="9"/>
  </si>
  <si>
    <t>クラスB</t>
    <phoneticPr fontId="9"/>
  </si>
  <si>
    <t>クラスA</t>
    <phoneticPr fontId="9"/>
  </si>
  <si>
    <t>年代</t>
    <rPh sb="0" eb="2">
      <t>ネンダイ</t>
    </rPh>
    <phoneticPr fontId="9"/>
  </si>
  <si>
    <t>クラスメートの構成（国別）</t>
    <rPh sb="7" eb="9">
      <t>コウセイ</t>
    </rPh>
    <rPh sb="10" eb="11">
      <t>クニ</t>
    </rPh>
    <rPh sb="11" eb="12">
      <t>ベツ</t>
    </rPh>
    <phoneticPr fontId="9"/>
  </si>
  <si>
    <t>各都市の平均気温</t>
    <phoneticPr fontId="2"/>
  </si>
  <si>
    <t>1月</t>
  </si>
  <si>
    <t>仙台</t>
  </si>
  <si>
    <t>横浜</t>
  </si>
  <si>
    <t>京都</t>
  </si>
  <si>
    <t>福岡</t>
  </si>
  <si>
    <t>マンゴームース</t>
    <phoneticPr fontId="2"/>
  </si>
  <si>
    <t>〇</t>
    <phoneticPr fontId="2"/>
  </si>
  <si>
    <t>さくら食堂</t>
    <rPh sb="3" eb="5">
      <t>ショクドウ</t>
    </rPh>
    <phoneticPr fontId="2"/>
  </si>
  <si>
    <t>和食</t>
    <rPh sb="0" eb="2">
      <t>ワショク</t>
    </rPh>
    <phoneticPr fontId="2"/>
  </si>
  <si>
    <t>杏仁豆腐</t>
    <rPh sb="0" eb="2">
      <t>アンニン</t>
    </rPh>
    <rPh sb="2" eb="4">
      <t>ドウフ</t>
    </rPh>
    <phoneticPr fontId="2"/>
  </si>
  <si>
    <t>来来亭</t>
    <rPh sb="0" eb="3">
      <t>ライライテイ</t>
    </rPh>
    <phoneticPr fontId="2"/>
  </si>
  <si>
    <t>中華</t>
    <rPh sb="0" eb="2">
      <t>チュウカ</t>
    </rPh>
    <phoneticPr fontId="2"/>
  </si>
  <si>
    <t>ドライいちごケーキ</t>
    <phoneticPr fontId="2"/>
  </si>
  <si>
    <t>カサブランカ</t>
    <phoneticPr fontId="2"/>
  </si>
  <si>
    <t>洋食</t>
    <rPh sb="0" eb="1">
      <t>ヨウ</t>
    </rPh>
    <rPh sb="1" eb="2">
      <t>ショク</t>
    </rPh>
    <phoneticPr fontId="2"/>
  </si>
  <si>
    <t>バナナタルト</t>
    <phoneticPr fontId="2"/>
  </si>
  <si>
    <t>ジョイ</t>
    <phoneticPr fontId="2"/>
  </si>
  <si>
    <t>カフェ</t>
    <phoneticPr fontId="2"/>
  </si>
  <si>
    <t>銀寿司</t>
    <rPh sb="0" eb="1">
      <t>ギン</t>
    </rPh>
    <rPh sb="1" eb="3">
      <t>スシ</t>
    </rPh>
    <phoneticPr fontId="2"/>
  </si>
  <si>
    <t>エッグタルト</t>
    <phoneticPr fontId="2"/>
  </si>
  <si>
    <t>台湾酒家</t>
    <rPh sb="0" eb="2">
      <t>タイワン</t>
    </rPh>
    <rPh sb="2" eb="3">
      <t>シュ</t>
    </rPh>
    <rPh sb="3" eb="4">
      <t>イエ</t>
    </rPh>
    <phoneticPr fontId="2"/>
  </si>
  <si>
    <t>チョコレートケーキ</t>
    <phoneticPr fontId="2"/>
  </si>
  <si>
    <t>バンブー</t>
    <phoneticPr fontId="2"/>
  </si>
  <si>
    <t>いちごパフェ</t>
    <phoneticPr fontId="2"/>
  </si>
  <si>
    <t>ココナッツミルク</t>
    <phoneticPr fontId="2"/>
  </si>
  <si>
    <t>しまあじ</t>
    <phoneticPr fontId="2"/>
  </si>
  <si>
    <t>マンゴープリン</t>
    <phoneticPr fontId="2"/>
  </si>
  <si>
    <t>上海飯店</t>
    <rPh sb="0" eb="2">
      <t>シャンハイ</t>
    </rPh>
    <rPh sb="2" eb="4">
      <t>ハンテン</t>
    </rPh>
    <phoneticPr fontId="2"/>
  </si>
  <si>
    <t>いちごタルト</t>
    <phoneticPr fontId="2"/>
  </si>
  <si>
    <t>ジャスミン</t>
    <phoneticPr fontId="2"/>
  </si>
  <si>
    <t>いちごショート</t>
    <phoneticPr fontId="2"/>
  </si>
  <si>
    <t>ケーキクラブ</t>
    <phoneticPr fontId="2"/>
  </si>
  <si>
    <t>冷やしいちご</t>
    <rPh sb="0" eb="1">
      <t>ヒ</t>
    </rPh>
    <phoneticPr fontId="2"/>
  </si>
  <si>
    <t>あじさい亭</t>
    <rPh sb="4" eb="5">
      <t>テイ</t>
    </rPh>
    <phoneticPr fontId="2"/>
  </si>
  <si>
    <t>広東楼</t>
    <rPh sb="0" eb="2">
      <t>カントン</t>
    </rPh>
    <rPh sb="2" eb="3">
      <t>ロウ</t>
    </rPh>
    <phoneticPr fontId="2"/>
  </si>
  <si>
    <t>いちごババロア</t>
    <phoneticPr fontId="2"/>
  </si>
  <si>
    <t>ミラノ</t>
    <phoneticPr fontId="2"/>
  </si>
  <si>
    <t>シフォンケーキ</t>
    <phoneticPr fontId="2"/>
  </si>
  <si>
    <t>ブラウン</t>
    <phoneticPr fontId="2"/>
  </si>
  <si>
    <t>お勧めデザート</t>
    <rPh sb="1" eb="2">
      <t>スス</t>
    </rPh>
    <phoneticPr fontId="2"/>
  </si>
  <si>
    <t>ティータイム</t>
    <phoneticPr fontId="2"/>
  </si>
  <si>
    <t>コース予算</t>
    <phoneticPr fontId="2"/>
  </si>
  <si>
    <t>コース</t>
    <phoneticPr fontId="2"/>
  </si>
  <si>
    <t>ランチ予算</t>
    <phoneticPr fontId="2"/>
  </si>
  <si>
    <t>ランチ</t>
    <phoneticPr fontId="2"/>
  </si>
  <si>
    <t>名前</t>
    <phoneticPr fontId="2"/>
  </si>
  <si>
    <t>種類</t>
    <phoneticPr fontId="2"/>
  </si>
  <si>
    <t>●近くのレストラン一覧</t>
    <rPh sb="1" eb="2">
      <t>チカ</t>
    </rPh>
    <rPh sb="9" eb="11">
      <t>イチラン</t>
    </rPh>
    <phoneticPr fontId="2"/>
  </si>
  <si>
    <t>「中華」、「和食」だけのリストにして下さい</t>
    <rPh sb="1" eb="3">
      <t>チュウカ</t>
    </rPh>
    <rPh sb="6" eb="8">
      <t>ワショク</t>
    </rPh>
    <rPh sb="18" eb="19">
      <t>クダ</t>
    </rPh>
    <phoneticPr fontId="2"/>
  </si>
  <si>
    <t>問題</t>
    <rPh sb="0" eb="2">
      <t>モンダイ</t>
    </rPh>
    <phoneticPr fontId="2"/>
  </si>
  <si>
    <t>①「ランチのあるレストラン」だけのリストにすること</t>
    <phoneticPr fontId="2"/>
  </si>
  <si>
    <t>②「ティータイムのあるレストラン」だけのリストにすること</t>
    <phoneticPr fontId="2"/>
  </si>
  <si>
    <t>③「ランチ予算1000円以下のレストラン」だけのリストにすること</t>
    <rPh sb="5" eb="7">
      <t>ヨサン</t>
    </rPh>
    <rPh sb="11" eb="14">
      <t>エンイカ</t>
    </rPh>
    <phoneticPr fontId="2"/>
  </si>
  <si>
    <t>総合計</t>
    <rPh sb="0" eb="1">
      <t>ソウ</t>
    </rPh>
    <rPh sb="1" eb="3">
      <t>ゴウケイ</t>
    </rPh>
    <phoneticPr fontId="2"/>
  </si>
  <si>
    <t>中国</t>
  </si>
  <si>
    <t>中部</t>
  </si>
  <si>
    <t>東北</t>
  </si>
  <si>
    <t>北海道</t>
  </si>
  <si>
    <t>九州</t>
  </si>
  <si>
    <t>近畿</t>
  </si>
  <si>
    <t>関東</t>
  </si>
  <si>
    <t>構成比</t>
    <rPh sb="0" eb="3">
      <t>コウセイヒ</t>
    </rPh>
    <phoneticPr fontId="2"/>
  </si>
  <si>
    <t>2017年</t>
    <rPh sb="4" eb="5">
      <t>ネン</t>
    </rPh>
    <phoneticPr fontId="2"/>
  </si>
  <si>
    <t>2016年</t>
    <rPh sb="4" eb="5">
      <t>ネン</t>
    </rPh>
    <phoneticPr fontId="2"/>
  </si>
  <si>
    <t>地方名</t>
    <rPh sb="0" eb="2">
      <t>チホウ</t>
    </rPh>
    <rPh sb="2" eb="3">
      <t>メイ</t>
    </rPh>
    <phoneticPr fontId="2"/>
  </si>
  <si>
    <t>ランク</t>
    <phoneticPr fontId="2"/>
  </si>
  <si>
    <t>単位：人</t>
    <rPh sb="0" eb="2">
      <t>タンイ</t>
    </rPh>
    <rPh sb="3" eb="4">
      <t>ニン</t>
    </rPh>
    <phoneticPr fontId="2"/>
  </si>
  <si>
    <t>地域別留学生数ランキング</t>
    <rPh sb="0" eb="2">
      <t>チイキ</t>
    </rPh>
    <rPh sb="2" eb="3">
      <t>ベツ</t>
    </rPh>
    <rPh sb="3" eb="6">
      <t>リュウガクセイ</t>
    </rPh>
    <rPh sb="6" eb="7">
      <t>スウ</t>
    </rPh>
    <phoneticPr fontId="2"/>
  </si>
  <si>
    <t>問題１</t>
    <rPh sb="0" eb="2">
      <t>モンダイ</t>
    </rPh>
    <phoneticPr fontId="2"/>
  </si>
  <si>
    <t>表を完成させましょう</t>
    <rPh sb="0" eb="1">
      <t>ヒョウ</t>
    </rPh>
    <rPh sb="2" eb="4">
      <t>カンセイ</t>
    </rPh>
    <phoneticPr fontId="2"/>
  </si>
  <si>
    <t>お手本</t>
    <rPh sb="1" eb="3">
      <t>テホン</t>
    </rPh>
    <phoneticPr fontId="2"/>
  </si>
  <si>
    <t>問題２</t>
    <rPh sb="0" eb="2">
      <t>モンダイ</t>
    </rPh>
    <phoneticPr fontId="2"/>
  </si>
  <si>
    <r>
      <rPr>
        <b/>
        <u/>
        <sz val="11"/>
        <color theme="1"/>
        <rFont val="Aptos Narrow"/>
        <family val="3"/>
        <charset val="128"/>
        <scheme val="minor"/>
      </rPr>
      <t>ランク１、２，３，４，５の地方の人口</t>
    </r>
    <r>
      <rPr>
        <b/>
        <sz val="11"/>
        <color theme="1"/>
        <rFont val="Aptos Narrow"/>
        <family val="3"/>
        <charset val="128"/>
        <scheme val="minor"/>
      </rPr>
      <t>を棒グラフにまとめましょう。</t>
    </r>
    <r>
      <rPr>
        <b/>
        <u/>
        <sz val="11"/>
        <color theme="1"/>
        <rFont val="Aptos Narrow"/>
        <family val="3"/>
        <charset val="128"/>
        <scheme val="minor"/>
      </rPr>
      <t>お手本の形と同じ形式にすること</t>
    </r>
    <rPh sb="13" eb="15">
      <t>チホウ</t>
    </rPh>
    <rPh sb="16" eb="18">
      <t>ジンコウ</t>
    </rPh>
    <rPh sb="19" eb="20">
      <t>ボウ</t>
    </rPh>
    <rPh sb="33" eb="35">
      <t>テホン</t>
    </rPh>
    <rPh sb="36" eb="37">
      <t>カタチ</t>
    </rPh>
    <rPh sb="38" eb="39">
      <t>オナ</t>
    </rPh>
    <rPh sb="40" eb="42">
      <t>ケイシキ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</si>
</sst>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¥&quot;#,##0;[Red]&quot;¥&quot;\-#,##0"/>
  </numFmts>
  <fonts count="12">
    <font>
      <sz val="11"/>
      <color theme="1"/>
      <name val="Aptos Narrow"/>
      <family val="2"/>
      <charset val="128"/>
      <scheme val="minor"/>
    </font>
    <font>
      <sz val="11"/>
      <color theme="1"/>
      <name val="Aptos Narrow"/>
      <family val="2"/>
      <charset val="128"/>
      <scheme val="minor"/>
    </font>
    <font>
      <sz val="6"/>
      <name val="Aptos Narrow"/>
      <family val="2"/>
      <charset val="128"/>
      <scheme val="minor"/>
    </font>
    <font>
      <b/>
      <sz val="11"/>
      <color theme="1"/>
      <name val="Aptos Narrow"/>
      <family val="3"/>
      <charset val="128"/>
      <scheme val="minor"/>
    </font>
    <font>
      <b/>
      <sz val="12"/>
      <color theme="1"/>
      <name val="Aptos Narrow"/>
      <family val="3"/>
      <charset val="128"/>
      <scheme val="minor"/>
    </font>
    <font>
      <u/>
      <sz val="14"/>
      <color theme="1"/>
      <name val="Aptos Narrow"/>
      <family val="3"/>
      <charset val="128"/>
      <scheme val="minor"/>
    </font>
    <font>
      <sz val="11"/>
      <name val="ＭＳ Ｐゴシック"/>
      <family val="3"/>
      <charset val="128"/>
    </font>
    <font>
      <sz val="11"/>
      <name val="游ゴシック"/>
      <family val="3"/>
      <charset val="128"/>
    </font>
    <font>
      <b/>
      <sz val="11"/>
      <name val="游ゴシック"/>
      <family val="3"/>
      <charset val="128"/>
    </font>
    <font>
      <sz val="6"/>
      <name val="ＭＳ Ｐゴシック"/>
      <family val="3"/>
      <charset val="128"/>
    </font>
    <font>
      <b/>
      <sz val="16"/>
      <name val="游ゴシック"/>
      <family val="3"/>
      <charset val="128"/>
    </font>
    <font>
      <b/>
      <u/>
      <sz val="11"/>
      <color theme="1"/>
      <name val="Aptos Narrow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6" fillId="0" borderId="0"/>
    <xf numFmtId="38" fontId="6" fillId="0" borderId="0" applyFont="0" applyFill="0" applyBorder="0" applyAlignment="0" applyProtection="0"/>
  </cellStyleXfs>
  <cellXfs count="36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4" borderId="5" xfId="0" applyFill="1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7" fillId="0" borderId="0" xfId="2" applyFont="1"/>
    <xf numFmtId="38" fontId="7" fillId="0" borderId="1" xfId="3" applyFont="1" applyBorder="1"/>
    <xf numFmtId="0" fontId="8" fillId="5" borderId="1" xfId="2" applyFont="1" applyFill="1" applyBorder="1" applyAlignment="1">
      <alignment horizontal="center"/>
    </xf>
    <xf numFmtId="0" fontId="8" fillId="6" borderId="1" xfId="2" applyFont="1" applyFill="1" applyBorder="1" applyAlignment="1">
      <alignment horizontal="left"/>
    </xf>
    <xf numFmtId="0" fontId="10" fillId="0" borderId="0" xfId="2" applyFont="1"/>
    <xf numFmtId="0" fontId="0" fillId="0" borderId="1" xfId="0" applyBorder="1" applyAlignment="1">
      <alignment horizontal="center" vertical="center"/>
    </xf>
    <xf numFmtId="164" fontId="0" fillId="0" borderId="1" xfId="1" applyFont="1" applyBorder="1">
      <alignment vertical="center"/>
    </xf>
    <xf numFmtId="164" fontId="0" fillId="0" borderId="1" xfId="1" applyFont="1" applyBorder="1" applyAlignment="1">
      <alignment horizontal="right" vertical="center" indent="1"/>
    </xf>
    <xf numFmtId="164" fontId="0" fillId="0" borderId="1" xfId="1" applyFont="1" applyBorder="1" applyAlignment="1">
      <alignment horizontal="right" vertical="center"/>
    </xf>
    <xf numFmtId="0" fontId="3" fillId="7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8" borderId="1" xfId="0" applyFill="1" applyBorder="1">
      <alignment vertical="center"/>
    </xf>
  </cellXfs>
  <cellStyles count="4">
    <cellStyle name="Currency [0]" xfId="1" builtinId="7"/>
    <cellStyle name="Normal" xfId="0" builtinId="0"/>
    <cellStyle name="桁区切り 2" xfId="3" xr:uid="{8ADD654B-6AD2-4371-808C-5B4E21DFE563}"/>
    <cellStyle name="標準 2" xfId="2" xr:uid="{9D89A811-5144-44D7-A4A3-B0E252CA7B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sng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u="sng"/>
              <a:t>”クラスB男女別グラフ”</a:t>
            </a:r>
          </a:p>
          <a:p>
            <a:pPr>
              <a:defRPr u="sng"/>
            </a:pPr>
            <a:endParaRPr lang="en-US" u="sng"/>
          </a:p>
        </c:rich>
      </c:tx>
      <c:layout>
        <c:manualLayout>
          <c:xMode val="edge"/>
          <c:yMode val="edge"/>
          <c:x val="0.30609011373578304"/>
          <c:y val="0.101851851851851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sng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Step1!$C$3</c:f>
              <c:strCache>
                <c:ptCount val="1"/>
                <c:pt idx="0">
                  <c:v>クラスB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3CC5-8A47-BF9C-C5F57511E9B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CC5-8A47-BF9C-C5F57511E9B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3CC5-8A47-BF9C-C5F57511E9B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3CC5-8A47-BF9C-C5F57511E9BD}"/>
                </c:ext>
              </c:extLst>
            </c:dLbl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Step1!$A$4:$A$5</c:f>
              <c:strCache>
                <c:ptCount val="2"/>
                <c:pt idx="0">
                  <c:v>男</c:v>
                </c:pt>
                <c:pt idx="1">
                  <c:v>女</c:v>
                </c:pt>
              </c:strCache>
            </c:strRef>
          </c:cat>
          <c:val>
            <c:numRef>
              <c:f>Step1!$C$4:$C$5</c:f>
              <c:numCache>
                <c:formatCode>General</c:formatCode>
                <c:ptCount val="2"/>
                <c:pt idx="0">
                  <c:v>12</c:v>
                </c:pt>
                <c:pt idx="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5-8A47-BF9C-C5F57511E9BD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sng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" altLang="en-US" u="sng"/>
              <a:t>”</a:t>
            </a:r>
            <a:r>
              <a:rPr lang="ja" u="sng"/>
              <a:t>アトラクション別利用者数</a:t>
            </a:r>
            <a:r>
              <a:rPr lang="ja" altLang="en-US" u="sng"/>
              <a:t>”</a:t>
            </a:r>
            <a:endParaRPr lang="en-US" u="sng"/>
          </a:p>
        </c:rich>
      </c:tx>
      <c:layout>
        <c:manualLayout>
          <c:xMode val="edge"/>
          <c:yMode val="edge"/>
          <c:x val="0.28339920948616598"/>
          <c:y val="3.01129234629861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sng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440309981015219E-2"/>
          <c:y val="9.8080399924915268E-2"/>
          <c:w val="0.93030045750210077"/>
          <c:h val="0.7811412877029015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Step2!$A$4</c:f>
              <c:strCache>
                <c:ptCount val="1"/>
                <c:pt idx="0">
                  <c:v>スカイドライブ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Step2!$B$3:$H$3</c:f>
              <c:strCache>
                <c:ptCount val="7"/>
                <c:pt idx="0">
                  <c:v>0～9歳</c:v>
                </c:pt>
                <c:pt idx="1">
                  <c:v>10歳代</c:v>
                </c:pt>
                <c:pt idx="2">
                  <c:v>20歳代</c:v>
                </c:pt>
                <c:pt idx="3">
                  <c:v>30歳代</c:v>
                </c:pt>
                <c:pt idx="4">
                  <c:v>40歳代</c:v>
                </c:pt>
                <c:pt idx="5">
                  <c:v>50歳代</c:v>
                </c:pt>
                <c:pt idx="6">
                  <c:v>60歳～</c:v>
                </c:pt>
              </c:strCache>
            </c:strRef>
          </c:cat>
          <c:val>
            <c:numRef>
              <c:f>Step2!$B$4:$H$4</c:f>
              <c:numCache>
                <c:formatCode>General</c:formatCode>
                <c:ptCount val="7"/>
                <c:pt idx="0">
                  <c:v>268</c:v>
                </c:pt>
                <c:pt idx="1">
                  <c:v>326</c:v>
                </c:pt>
                <c:pt idx="2">
                  <c:v>214</c:v>
                </c:pt>
                <c:pt idx="3">
                  <c:v>126</c:v>
                </c:pt>
                <c:pt idx="4">
                  <c:v>164</c:v>
                </c:pt>
                <c:pt idx="5">
                  <c:v>26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93-9846-A7C6-173677C687D4}"/>
            </c:ext>
          </c:extLst>
        </c:ser>
        <c:ser>
          <c:idx val="1"/>
          <c:order val="1"/>
          <c:tx>
            <c:strRef>
              <c:f>Step2!$A$5</c:f>
              <c:strCache>
                <c:ptCount val="1"/>
                <c:pt idx="0">
                  <c:v>クイックコースター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Step2!$B$3:$H$3</c:f>
              <c:strCache>
                <c:ptCount val="7"/>
                <c:pt idx="0">
                  <c:v>0～9歳</c:v>
                </c:pt>
                <c:pt idx="1">
                  <c:v>10歳代</c:v>
                </c:pt>
                <c:pt idx="2">
                  <c:v>20歳代</c:v>
                </c:pt>
                <c:pt idx="3">
                  <c:v>30歳代</c:v>
                </c:pt>
                <c:pt idx="4">
                  <c:v>40歳代</c:v>
                </c:pt>
                <c:pt idx="5">
                  <c:v>50歳代</c:v>
                </c:pt>
                <c:pt idx="6">
                  <c:v>60歳～</c:v>
                </c:pt>
              </c:strCache>
            </c:strRef>
          </c:cat>
          <c:val>
            <c:numRef>
              <c:f>Step2!$B$5:$H$5</c:f>
              <c:numCache>
                <c:formatCode>General</c:formatCode>
                <c:ptCount val="7"/>
                <c:pt idx="0">
                  <c:v>32</c:v>
                </c:pt>
                <c:pt idx="1">
                  <c:v>298</c:v>
                </c:pt>
                <c:pt idx="2">
                  <c:v>889</c:v>
                </c:pt>
                <c:pt idx="3">
                  <c:v>526</c:v>
                </c:pt>
                <c:pt idx="4">
                  <c:v>212</c:v>
                </c:pt>
                <c:pt idx="5">
                  <c:v>201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93-9846-A7C6-173677C687D4}"/>
            </c:ext>
          </c:extLst>
        </c:ser>
        <c:ser>
          <c:idx val="2"/>
          <c:order val="2"/>
          <c:tx>
            <c:strRef>
              <c:f>Step2!$A$6</c:f>
              <c:strCache>
                <c:ptCount val="1"/>
                <c:pt idx="0">
                  <c:v>メリーゴーランド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Step2!$B$3:$H$3</c:f>
              <c:strCache>
                <c:ptCount val="7"/>
                <c:pt idx="0">
                  <c:v>0～9歳</c:v>
                </c:pt>
                <c:pt idx="1">
                  <c:v>10歳代</c:v>
                </c:pt>
                <c:pt idx="2">
                  <c:v>20歳代</c:v>
                </c:pt>
                <c:pt idx="3">
                  <c:v>30歳代</c:v>
                </c:pt>
                <c:pt idx="4">
                  <c:v>40歳代</c:v>
                </c:pt>
                <c:pt idx="5">
                  <c:v>50歳代</c:v>
                </c:pt>
                <c:pt idx="6">
                  <c:v>60歳～</c:v>
                </c:pt>
              </c:strCache>
            </c:strRef>
          </c:cat>
          <c:val>
            <c:numRef>
              <c:f>Step2!$B$6:$H$6</c:f>
              <c:numCache>
                <c:formatCode>General</c:formatCode>
                <c:ptCount val="7"/>
                <c:pt idx="0">
                  <c:v>482</c:v>
                </c:pt>
                <c:pt idx="1">
                  <c:v>326</c:v>
                </c:pt>
                <c:pt idx="2">
                  <c:v>280</c:v>
                </c:pt>
                <c:pt idx="3">
                  <c:v>365</c:v>
                </c:pt>
                <c:pt idx="4">
                  <c:v>253</c:v>
                </c:pt>
                <c:pt idx="5">
                  <c:v>120</c:v>
                </c:pt>
                <c:pt idx="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93-9846-A7C6-173677C687D4}"/>
            </c:ext>
          </c:extLst>
        </c:ser>
        <c:ser>
          <c:idx val="3"/>
          <c:order val="3"/>
          <c:tx>
            <c:strRef>
              <c:f>Step2!$A$7</c:f>
              <c:strCache>
                <c:ptCount val="1"/>
                <c:pt idx="0">
                  <c:v>ミラクルコースター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Step2!$B$3:$H$3</c:f>
              <c:strCache>
                <c:ptCount val="7"/>
                <c:pt idx="0">
                  <c:v>0～9歳</c:v>
                </c:pt>
                <c:pt idx="1">
                  <c:v>10歳代</c:v>
                </c:pt>
                <c:pt idx="2">
                  <c:v>20歳代</c:v>
                </c:pt>
                <c:pt idx="3">
                  <c:v>30歳代</c:v>
                </c:pt>
                <c:pt idx="4">
                  <c:v>40歳代</c:v>
                </c:pt>
                <c:pt idx="5">
                  <c:v>50歳代</c:v>
                </c:pt>
                <c:pt idx="6">
                  <c:v>60歳～</c:v>
                </c:pt>
              </c:strCache>
            </c:strRef>
          </c:cat>
          <c:val>
            <c:numRef>
              <c:f>Step2!$B$7:$H$7</c:f>
              <c:numCache>
                <c:formatCode>General</c:formatCode>
                <c:ptCount val="7"/>
                <c:pt idx="0">
                  <c:v>88</c:v>
                </c:pt>
                <c:pt idx="1">
                  <c:v>138</c:v>
                </c:pt>
                <c:pt idx="2">
                  <c:v>82</c:v>
                </c:pt>
                <c:pt idx="3">
                  <c:v>120</c:v>
                </c:pt>
                <c:pt idx="4">
                  <c:v>101</c:v>
                </c:pt>
                <c:pt idx="5">
                  <c:v>43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93-9846-A7C6-173677C687D4}"/>
            </c:ext>
          </c:extLst>
        </c:ser>
        <c:ser>
          <c:idx val="4"/>
          <c:order val="4"/>
          <c:tx>
            <c:strRef>
              <c:f>Step2!$A$8</c:f>
              <c:strCache>
                <c:ptCount val="1"/>
                <c:pt idx="0">
                  <c:v>エアーバトラー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Step2!$B$3:$H$3</c:f>
              <c:strCache>
                <c:ptCount val="7"/>
                <c:pt idx="0">
                  <c:v>0～9歳</c:v>
                </c:pt>
                <c:pt idx="1">
                  <c:v>10歳代</c:v>
                </c:pt>
                <c:pt idx="2">
                  <c:v>20歳代</c:v>
                </c:pt>
                <c:pt idx="3">
                  <c:v>30歳代</c:v>
                </c:pt>
                <c:pt idx="4">
                  <c:v>40歳代</c:v>
                </c:pt>
                <c:pt idx="5">
                  <c:v>50歳代</c:v>
                </c:pt>
                <c:pt idx="6">
                  <c:v>60歳～</c:v>
                </c:pt>
              </c:strCache>
            </c:strRef>
          </c:cat>
          <c:val>
            <c:numRef>
              <c:f>Step2!$B$8:$H$8</c:f>
              <c:numCache>
                <c:formatCode>General</c:formatCode>
                <c:ptCount val="7"/>
                <c:pt idx="0">
                  <c:v>43</c:v>
                </c:pt>
                <c:pt idx="1">
                  <c:v>128</c:v>
                </c:pt>
                <c:pt idx="2">
                  <c:v>269</c:v>
                </c:pt>
                <c:pt idx="3">
                  <c:v>210</c:v>
                </c:pt>
                <c:pt idx="4">
                  <c:v>230</c:v>
                </c:pt>
                <c:pt idx="5">
                  <c:v>140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93-9846-A7C6-173677C687D4}"/>
            </c:ext>
          </c:extLst>
        </c:ser>
        <c:ser>
          <c:idx val="5"/>
          <c:order val="5"/>
          <c:tx>
            <c:strRef>
              <c:f>Step2!$A$9</c:f>
              <c:strCache>
                <c:ptCount val="1"/>
                <c:pt idx="0">
                  <c:v>ドキドキレール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Step2!$B$3:$H$3</c:f>
              <c:strCache>
                <c:ptCount val="7"/>
                <c:pt idx="0">
                  <c:v>0～9歳</c:v>
                </c:pt>
                <c:pt idx="1">
                  <c:v>10歳代</c:v>
                </c:pt>
                <c:pt idx="2">
                  <c:v>20歳代</c:v>
                </c:pt>
                <c:pt idx="3">
                  <c:v>30歳代</c:v>
                </c:pt>
                <c:pt idx="4">
                  <c:v>40歳代</c:v>
                </c:pt>
                <c:pt idx="5">
                  <c:v>50歳代</c:v>
                </c:pt>
                <c:pt idx="6">
                  <c:v>60歳～</c:v>
                </c:pt>
              </c:strCache>
            </c:strRef>
          </c:cat>
          <c:val>
            <c:numRef>
              <c:f>Step2!$B$9:$H$9</c:f>
              <c:numCache>
                <c:formatCode>General</c:formatCode>
                <c:ptCount val="7"/>
                <c:pt idx="0">
                  <c:v>235</c:v>
                </c:pt>
                <c:pt idx="1">
                  <c:v>256</c:v>
                </c:pt>
                <c:pt idx="2">
                  <c:v>78</c:v>
                </c:pt>
                <c:pt idx="3">
                  <c:v>102</c:v>
                </c:pt>
                <c:pt idx="4">
                  <c:v>88</c:v>
                </c:pt>
                <c:pt idx="5">
                  <c:v>25</c:v>
                </c:pt>
                <c:pt idx="6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A93-9846-A7C6-173677C687D4}"/>
            </c:ext>
          </c:extLst>
        </c:ser>
        <c:ser>
          <c:idx val="6"/>
          <c:order val="6"/>
          <c:tx>
            <c:strRef>
              <c:f>Step2!$A$10</c:f>
              <c:strCache>
                <c:ptCount val="1"/>
                <c:pt idx="0">
                  <c:v>ドラゴンジャンプ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Step2!$B$3:$H$3</c:f>
              <c:strCache>
                <c:ptCount val="7"/>
                <c:pt idx="0">
                  <c:v>0～9歳</c:v>
                </c:pt>
                <c:pt idx="1">
                  <c:v>10歳代</c:v>
                </c:pt>
                <c:pt idx="2">
                  <c:v>20歳代</c:v>
                </c:pt>
                <c:pt idx="3">
                  <c:v>30歳代</c:v>
                </c:pt>
                <c:pt idx="4">
                  <c:v>40歳代</c:v>
                </c:pt>
                <c:pt idx="5">
                  <c:v>50歳代</c:v>
                </c:pt>
                <c:pt idx="6">
                  <c:v>60歳～</c:v>
                </c:pt>
              </c:strCache>
            </c:strRef>
          </c:cat>
          <c:val>
            <c:numRef>
              <c:f>Step2!$B$10:$H$10</c:f>
              <c:numCache>
                <c:formatCode>General</c:formatCode>
                <c:ptCount val="7"/>
                <c:pt idx="0">
                  <c:v>23</c:v>
                </c:pt>
                <c:pt idx="1">
                  <c:v>325</c:v>
                </c:pt>
                <c:pt idx="2">
                  <c:v>589</c:v>
                </c:pt>
                <c:pt idx="3">
                  <c:v>524</c:v>
                </c:pt>
                <c:pt idx="4">
                  <c:v>238</c:v>
                </c:pt>
                <c:pt idx="5">
                  <c:v>221</c:v>
                </c:pt>
                <c:pt idx="6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A93-9846-A7C6-173677C687D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overlap val="100"/>
        <c:axId val="2138727055"/>
        <c:axId val="2138808223"/>
      </c:barChart>
      <c:catAx>
        <c:axId val="2138727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808223"/>
        <c:crosses val="autoZero"/>
        <c:auto val="1"/>
        <c:lblAlgn val="ctr"/>
        <c:lblOffset val="100"/>
        <c:noMultiLvlLbl val="0"/>
      </c:catAx>
      <c:valAx>
        <c:axId val="213880822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138727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"/>
              <a:t>”各都市の平均気温”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Step3!$A$3</c:f>
              <c:strCache>
                <c:ptCount val="1"/>
                <c:pt idx="0">
                  <c:v>札幌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Step3!$B$2:$M$2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Step3!$B$3:$M$3</c:f>
              <c:numCache>
                <c:formatCode>General</c:formatCode>
                <c:ptCount val="12"/>
                <c:pt idx="0">
                  <c:v>-3.6</c:v>
                </c:pt>
                <c:pt idx="1">
                  <c:v>-3.1</c:v>
                </c:pt>
                <c:pt idx="2">
                  <c:v>0.6</c:v>
                </c:pt>
                <c:pt idx="3">
                  <c:v>7.1</c:v>
                </c:pt>
                <c:pt idx="4">
                  <c:v>12.4</c:v>
                </c:pt>
                <c:pt idx="5">
                  <c:v>16.7</c:v>
                </c:pt>
                <c:pt idx="6">
                  <c:v>20.5</c:v>
                </c:pt>
                <c:pt idx="7">
                  <c:v>22.3</c:v>
                </c:pt>
                <c:pt idx="8">
                  <c:v>18.100000000000001</c:v>
                </c:pt>
                <c:pt idx="9">
                  <c:v>11.8</c:v>
                </c:pt>
                <c:pt idx="10">
                  <c:v>4.9000000000000004</c:v>
                </c:pt>
                <c:pt idx="11">
                  <c:v>-0.9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D7-5F40-9C4F-07D0BE3FD42B}"/>
            </c:ext>
          </c:extLst>
        </c:ser>
        <c:ser>
          <c:idx val="1"/>
          <c:order val="1"/>
          <c:tx>
            <c:strRef>
              <c:f>Step3!$A$4</c:f>
              <c:strCache>
                <c:ptCount val="1"/>
                <c:pt idx="0">
                  <c:v>東京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Step3!$B$2:$M$2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Step3!$B$4:$M$4</c:f>
              <c:numCache>
                <c:formatCode>General</c:formatCode>
                <c:ptCount val="12"/>
                <c:pt idx="0">
                  <c:v>5.2</c:v>
                </c:pt>
                <c:pt idx="1">
                  <c:v>5.7</c:v>
                </c:pt>
                <c:pt idx="2">
                  <c:v>8.6999999999999993</c:v>
                </c:pt>
                <c:pt idx="3">
                  <c:v>13.9</c:v>
                </c:pt>
                <c:pt idx="4">
                  <c:v>18.2</c:v>
                </c:pt>
                <c:pt idx="5">
                  <c:v>21.4</c:v>
                </c:pt>
                <c:pt idx="6">
                  <c:v>25</c:v>
                </c:pt>
                <c:pt idx="7">
                  <c:v>26.4</c:v>
                </c:pt>
                <c:pt idx="8">
                  <c:v>22.8</c:v>
                </c:pt>
                <c:pt idx="9">
                  <c:v>17.5</c:v>
                </c:pt>
                <c:pt idx="10">
                  <c:v>12.1</c:v>
                </c:pt>
                <c:pt idx="11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D7-5F40-9C4F-07D0BE3FD42B}"/>
            </c:ext>
          </c:extLst>
        </c:ser>
        <c:ser>
          <c:idx val="2"/>
          <c:order val="2"/>
          <c:tx>
            <c:strRef>
              <c:f>Step3!$A$5</c:f>
              <c:strCache>
                <c:ptCount val="1"/>
                <c:pt idx="0">
                  <c:v>那覇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Step3!$B$2:$M$2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Step3!$B$5:$M$5</c:f>
              <c:numCache>
                <c:formatCode>General</c:formatCode>
                <c:ptCount val="12"/>
                <c:pt idx="0">
                  <c:v>17</c:v>
                </c:pt>
                <c:pt idx="1">
                  <c:v>17.100000000000001</c:v>
                </c:pt>
                <c:pt idx="2">
                  <c:v>18.899999999999999</c:v>
                </c:pt>
                <c:pt idx="3">
                  <c:v>21.4</c:v>
                </c:pt>
                <c:pt idx="4">
                  <c:v>24</c:v>
                </c:pt>
                <c:pt idx="5">
                  <c:v>26.8</c:v>
                </c:pt>
                <c:pt idx="6">
                  <c:v>28.9</c:v>
                </c:pt>
                <c:pt idx="7">
                  <c:v>28.7</c:v>
                </c:pt>
                <c:pt idx="8">
                  <c:v>27.6</c:v>
                </c:pt>
                <c:pt idx="9">
                  <c:v>25.2</c:v>
                </c:pt>
                <c:pt idx="10">
                  <c:v>22.1</c:v>
                </c:pt>
                <c:pt idx="11">
                  <c:v>18.7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D7-5F40-9C4F-07D0BE3FD42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04922575"/>
        <c:axId val="1492988863"/>
      </c:lineChart>
      <c:catAx>
        <c:axId val="1504922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月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988863"/>
        <c:crosses val="autoZero"/>
        <c:auto val="1"/>
        <c:lblAlgn val="ctr"/>
        <c:lblOffset val="100"/>
        <c:noMultiLvlLbl val="0"/>
      </c:catAx>
      <c:valAx>
        <c:axId val="149298886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 気温</a:t>
                </a:r>
              </a:p>
              <a:p>
                <a:pPr>
                  <a:defRPr sz="1100"/>
                </a:pPr>
                <a:endParaRPr lang="en-US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504922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sng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u="sng"/>
              <a:t>”国別グラフ”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sng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クラスA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4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4">
                  <a:shade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4">
                  <a:shade val="82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0E2-1B4E-A045-DC9EE57AFA6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4">
                  <a:tint val="83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4">
                  <a:tint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4">
                  <a:tint val="48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dLbl>
              <c:idx val="2"/>
              <c:layout>
                <c:manualLayout>
                  <c:x val="0.11322953836068501"/>
                  <c:y val="-0.13684048311388464"/>
                </c:manualLayout>
              </c:layout>
              <c:spPr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920529801324503"/>
                      <c:h val="0.149211618257261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0E2-1B4E-A045-DC9EE57AFA67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Sheet3!$A$4:$A$10</c:f>
              <c:strCache>
                <c:ptCount val="7"/>
                <c:pt idx="0">
                  <c:v>ベトナム</c:v>
                </c:pt>
                <c:pt idx="1">
                  <c:v>バングラディッシュ</c:v>
                </c:pt>
                <c:pt idx="2">
                  <c:v>ネパール</c:v>
                </c:pt>
                <c:pt idx="3">
                  <c:v>ミャンマー</c:v>
                </c:pt>
                <c:pt idx="4">
                  <c:v>スリランカ</c:v>
                </c:pt>
                <c:pt idx="5">
                  <c:v>中国</c:v>
                </c:pt>
                <c:pt idx="6">
                  <c:v>モンゴル</c:v>
                </c:pt>
              </c:strCache>
            </c:strRef>
          </c:cat>
          <c:val>
            <c:numRef>
              <c:f>Sheet3!$B$4:$B$10</c:f>
              <c:numCache>
                <c:formatCode>#,##0_);[Red]\(#,##0\)</c:formatCode>
                <c:ptCount val="7"/>
                <c:pt idx="0">
                  <c:v>12</c:v>
                </c:pt>
                <c:pt idx="1">
                  <c:v>7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E2-1B4E-A045-DC9EE57AFA67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クラスB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4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4">
                  <a:shade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4">
                  <a:shade val="82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4">
                  <a:tint val="83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4">
                  <a:tint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4">
                  <a:tint val="48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Sheet3!$A$4:$A$10</c:f>
              <c:strCache>
                <c:ptCount val="7"/>
                <c:pt idx="0">
                  <c:v>ベトナム</c:v>
                </c:pt>
                <c:pt idx="1">
                  <c:v>バングラディッシュ</c:v>
                </c:pt>
                <c:pt idx="2">
                  <c:v>ネパール</c:v>
                </c:pt>
                <c:pt idx="3">
                  <c:v>ミャンマー</c:v>
                </c:pt>
                <c:pt idx="4">
                  <c:v>スリランカ</c:v>
                </c:pt>
                <c:pt idx="5">
                  <c:v>中国</c:v>
                </c:pt>
                <c:pt idx="6">
                  <c:v>モンゴル</c:v>
                </c:pt>
              </c:strCache>
            </c:strRef>
          </c:cat>
          <c:val>
            <c:numRef>
              <c:f>Sheet3!$C$4:$C$10</c:f>
              <c:numCache>
                <c:formatCode>#,##0_);[Red]\(#,##0\)</c:formatCode>
                <c:ptCount val="7"/>
                <c:pt idx="0">
                  <c:v>15</c:v>
                </c:pt>
                <c:pt idx="1">
                  <c:v>7</c:v>
                </c:pt>
                <c:pt idx="2">
                  <c:v>7</c:v>
                </c:pt>
                <c:pt idx="3">
                  <c:v>4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E2-1B4E-A045-DC9EE57AFA67}"/>
            </c:ext>
          </c:extLst>
        </c:ser>
        <c:ser>
          <c:idx val="2"/>
          <c:order val="2"/>
          <c:tx>
            <c:strRef>
              <c:f>Sheet3!$D$3</c:f>
              <c:strCache>
                <c:ptCount val="1"/>
                <c:pt idx="0">
                  <c:v>クラスC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4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4">
                  <a:shade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4">
                  <a:shade val="82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4">
                  <a:tint val="83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4">
                  <a:tint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4">
                  <a:tint val="48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Sheet3!$A$4:$A$10</c:f>
              <c:strCache>
                <c:ptCount val="7"/>
                <c:pt idx="0">
                  <c:v>ベトナム</c:v>
                </c:pt>
                <c:pt idx="1">
                  <c:v>バングラディッシュ</c:v>
                </c:pt>
                <c:pt idx="2">
                  <c:v>ネパール</c:v>
                </c:pt>
                <c:pt idx="3">
                  <c:v>ミャンマー</c:v>
                </c:pt>
                <c:pt idx="4">
                  <c:v>スリランカ</c:v>
                </c:pt>
                <c:pt idx="5">
                  <c:v>中国</c:v>
                </c:pt>
                <c:pt idx="6">
                  <c:v>モンゴル</c:v>
                </c:pt>
              </c:strCache>
            </c:strRef>
          </c:cat>
          <c:val>
            <c:numRef>
              <c:f>Sheet3!$D$4:$D$10</c:f>
              <c:numCache>
                <c:formatCode>#,##0_);[Red]\(#,##0\)</c:formatCode>
                <c:ptCount val="7"/>
                <c:pt idx="0">
                  <c:v>12</c:v>
                </c:pt>
                <c:pt idx="1">
                  <c:v>6</c:v>
                </c:pt>
                <c:pt idx="2">
                  <c:v>5</c:v>
                </c:pt>
                <c:pt idx="3">
                  <c:v>5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E2-1B4E-A045-DC9EE57AFA6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sng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ja-JP" sz="1800" b="1" i="0" u="sng" baseline="0">
                <a:effectLst/>
              </a:rPr>
              <a:t>”各都市の平均気温”</a:t>
            </a:r>
            <a:endParaRPr lang="en-US" u="sng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sng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Sheet4!$A$2</c:f>
              <c:strCache>
                <c:ptCount val="1"/>
                <c:pt idx="0">
                  <c:v>仙台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Sheet4!$B$1:$M$1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Sheet4!$B$2:$M$2</c:f>
              <c:numCache>
                <c:formatCode>General</c:formatCode>
                <c:ptCount val="12"/>
                <c:pt idx="0">
                  <c:v>1.6</c:v>
                </c:pt>
                <c:pt idx="1">
                  <c:v>2</c:v>
                </c:pt>
                <c:pt idx="2">
                  <c:v>4.9000000000000004</c:v>
                </c:pt>
                <c:pt idx="3">
                  <c:v>10.3</c:v>
                </c:pt>
                <c:pt idx="4">
                  <c:v>15</c:v>
                </c:pt>
                <c:pt idx="5">
                  <c:v>18.5</c:v>
                </c:pt>
                <c:pt idx="6">
                  <c:v>22.2</c:v>
                </c:pt>
                <c:pt idx="7">
                  <c:v>24.2</c:v>
                </c:pt>
                <c:pt idx="8">
                  <c:v>20.7</c:v>
                </c:pt>
                <c:pt idx="9">
                  <c:v>15.2</c:v>
                </c:pt>
                <c:pt idx="10">
                  <c:v>9.4</c:v>
                </c:pt>
                <c:pt idx="11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3F-9D45-8AA5-389D95477189}"/>
            </c:ext>
          </c:extLst>
        </c:ser>
        <c:ser>
          <c:idx val="1"/>
          <c:order val="1"/>
          <c:tx>
            <c:strRef>
              <c:f>Sheet4!$A$3</c:f>
              <c:strCache>
                <c:ptCount val="1"/>
                <c:pt idx="0">
                  <c:v>横浜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Sheet4!$B$1:$M$1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Sheet4!$B$3:$M$3</c:f>
              <c:numCache>
                <c:formatCode>General</c:formatCode>
                <c:ptCount val="12"/>
                <c:pt idx="0">
                  <c:v>5.9</c:v>
                </c:pt>
                <c:pt idx="1">
                  <c:v>6.2</c:v>
                </c:pt>
                <c:pt idx="2">
                  <c:v>9.1</c:v>
                </c:pt>
                <c:pt idx="3">
                  <c:v>14.2</c:v>
                </c:pt>
                <c:pt idx="4">
                  <c:v>18.3</c:v>
                </c:pt>
                <c:pt idx="5">
                  <c:v>21.3</c:v>
                </c:pt>
                <c:pt idx="6">
                  <c:v>25</c:v>
                </c:pt>
                <c:pt idx="7">
                  <c:v>26.7</c:v>
                </c:pt>
                <c:pt idx="8">
                  <c:v>23.3</c:v>
                </c:pt>
                <c:pt idx="9">
                  <c:v>18</c:v>
                </c:pt>
                <c:pt idx="10">
                  <c:v>13</c:v>
                </c:pt>
                <c:pt idx="11">
                  <c:v>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3F-9D45-8AA5-389D95477189}"/>
            </c:ext>
          </c:extLst>
        </c:ser>
        <c:ser>
          <c:idx val="2"/>
          <c:order val="2"/>
          <c:tx>
            <c:strRef>
              <c:f>Sheet4!$A$4</c:f>
              <c:strCache>
                <c:ptCount val="1"/>
                <c:pt idx="0">
                  <c:v>京都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Sheet4!$B$1:$M$1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Sheet4!$B$4:$M$4</c:f>
              <c:numCache>
                <c:formatCode>General</c:formatCode>
                <c:ptCount val="12"/>
                <c:pt idx="0">
                  <c:v>4.5999999999999996</c:v>
                </c:pt>
                <c:pt idx="1">
                  <c:v>5.0999999999999996</c:v>
                </c:pt>
                <c:pt idx="2">
                  <c:v>8.4</c:v>
                </c:pt>
                <c:pt idx="3">
                  <c:v>14.2</c:v>
                </c:pt>
                <c:pt idx="4">
                  <c:v>19</c:v>
                </c:pt>
                <c:pt idx="5">
                  <c:v>23</c:v>
                </c:pt>
                <c:pt idx="6">
                  <c:v>26.8</c:v>
                </c:pt>
                <c:pt idx="7">
                  <c:v>28.2</c:v>
                </c:pt>
                <c:pt idx="8">
                  <c:v>24.1</c:v>
                </c:pt>
                <c:pt idx="9">
                  <c:v>17.8</c:v>
                </c:pt>
                <c:pt idx="10">
                  <c:v>12.1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3F-9D45-8AA5-389D95477189}"/>
            </c:ext>
          </c:extLst>
        </c:ser>
        <c:ser>
          <c:idx val="3"/>
          <c:order val="3"/>
          <c:tx>
            <c:strRef>
              <c:f>Sheet4!$A$5</c:f>
              <c:strCache>
                <c:ptCount val="1"/>
                <c:pt idx="0">
                  <c:v>福岡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Sheet4!$B$1:$M$1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Sheet4!$B$5:$M$5</c:f>
              <c:numCache>
                <c:formatCode>General</c:formatCode>
                <c:ptCount val="12"/>
                <c:pt idx="0">
                  <c:v>6.6</c:v>
                </c:pt>
                <c:pt idx="1">
                  <c:v>7.4</c:v>
                </c:pt>
                <c:pt idx="2">
                  <c:v>10.4</c:v>
                </c:pt>
                <c:pt idx="3">
                  <c:v>15.1</c:v>
                </c:pt>
                <c:pt idx="4">
                  <c:v>19.399999999999999</c:v>
                </c:pt>
                <c:pt idx="5">
                  <c:v>23</c:v>
                </c:pt>
                <c:pt idx="6">
                  <c:v>27.2</c:v>
                </c:pt>
                <c:pt idx="7">
                  <c:v>28.1</c:v>
                </c:pt>
                <c:pt idx="8">
                  <c:v>24.4</c:v>
                </c:pt>
                <c:pt idx="9">
                  <c:v>19.2</c:v>
                </c:pt>
                <c:pt idx="10">
                  <c:v>13.8</c:v>
                </c:pt>
                <c:pt idx="11">
                  <c:v>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93F-9D45-8AA5-389D95477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2712495"/>
        <c:axId val="1487860703"/>
      </c:lineChart>
      <c:catAx>
        <c:axId val="1492712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860703"/>
        <c:crosses val="autoZero"/>
        <c:auto val="1"/>
        <c:lblAlgn val="ctr"/>
        <c:lblOffset val="100"/>
        <c:noMultiLvlLbl val="0"/>
      </c:catAx>
      <c:valAx>
        <c:axId val="148786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712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Sheet5!$C$4</c:f>
              <c:strCache>
                <c:ptCount val="1"/>
                <c:pt idx="0">
                  <c:v>2016年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Sheet5!$A$5:$B$17</c:f>
              <c:multiLvlStrCache>
                <c:ptCount val="13"/>
                <c:lvl>
                  <c:pt idx="0">
                    <c:v>近畿</c:v>
                  </c:pt>
                  <c:pt idx="1">
                    <c:v>関東</c:v>
                  </c:pt>
                  <c:pt idx="2">
                    <c:v>近畿</c:v>
                  </c:pt>
                  <c:pt idx="3">
                    <c:v>九州</c:v>
                  </c:pt>
                  <c:pt idx="4">
                    <c:v>中部</c:v>
                  </c:pt>
                  <c:pt idx="5">
                    <c:v>中国</c:v>
                  </c:pt>
                  <c:pt idx="6">
                    <c:v>近畿</c:v>
                  </c:pt>
                  <c:pt idx="7">
                    <c:v>九州</c:v>
                  </c:pt>
                  <c:pt idx="8">
                    <c:v>中部</c:v>
                  </c:pt>
                  <c:pt idx="9">
                    <c:v>北海道</c:v>
                  </c:pt>
                  <c:pt idx="10">
                    <c:v>東北</c:v>
                  </c:pt>
                  <c:pt idx="11">
                    <c:v>中部</c:v>
                  </c:pt>
                  <c:pt idx="12">
                    <c:v>中国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</c:lvl>
              </c:multiLvlStrCache>
            </c:multiLvlStrRef>
          </c:cat>
          <c:val>
            <c:numRef>
              <c:f>Sheet5!$C$5:$C$17</c:f>
              <c:numCache>
                <c:formatCode>General</c:formatCode>
                <c:ptCount val="13"/>
                <c:pt idx="0">
                  <c:v>242360</c:v>
                </c:pt>
                <c:pt idx="1">
                  <c:v>243148</c:v>
                </c:pt>
                <c:pt idx="2">
                  <c:v>157170</c:v>
                </c:pt>
                <c:pt idx="3">
                  <c:v>120648</c:v>
                </c:pt>
                <c:pt idx="4">
                  <c:v>32040</c:v>
                </c:pt>
                <c:pt idx="5">
                  <c:v>5815</c:v>
                </c:pt>
                <c:pt idx="6">
                  <c:v>4357</c:v>
                </c:pt>
                <c:pt idx="7">
                  <c:v>3895</c:v>
                </c:pt>
                <c:pt idx="8">
                  <c:v>2971</c:v>
                </c:pt>
                <c:pt idx="9">
                  <c:v>2734</c:v>
                </c:pt>
                <c:pt idx="10">
                  <c:v>2018</c:v>
                </c:pt>
                <c:pt idx="11">
                  <c:v>1670</c:v>
                </c:pt>
                <c:pt idx="12">
                  <c:v>1450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EE-884D-BE30-95E555751E0E}"/>
            </c:ext>
          </c:extLst>
        </c:ser>
        <c:ser>
          <c:idx val="1"/>
          <c:order val="1"/>
          <c:tx>
            <c:strRef>
              <c:f>Sheet5!$D$4</c:f>
              <c:strCache>
                <c:ptCount val="1"/>
                <c:pt idx="0">
                  <c:v>2017年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Sheet5!$A$5:$B$17</c:f>
              <c:multiLvlStrCache>
                <c:ptCount val="13"/>
                <c:lvl>
                  <c:pt idx="0">
                    <c:v>近畿</c:v>
                  </c:pt>
                  <c:pt idx="1">
                    <c:v>関東</c:v>
                  </c:pt>
                  <c:pt idx="2">
                    <c:v>近畿</c:v>
                  </c:pt>
                  <c:pt idx="3">
                    <c:v>九州</c:v>
                  </c:pt>
                  <c:pt idx="4">
                    <c:v>中部</c:v>
                  </c:pt>
                  <c:pt idx="5">
                    <c:v>中国</c:v>
                  </c:pt>
                  <c:pt idx="6">
                    <c:v>近畿</c:v>
                  </c:pt>
                  <c:pt idx="7">
                    <c:v>九州</c:v>
                  </c:pt>
                  <c:pt idx="8">
                    <c:v>中部</c:v>
                  </c:pt>
                  <c:pt idx="9">
                    <c:v>北海道</c:v>
                  </c:pt>
                  <c:pt idx="10">
                    <c:v>東北</c:v>
                  </c:pt>
                  <c:pt idx="11">
                    <c:v>中部</c:v>
                  </c:pt>
                  <c:pt idx="12">
                    <c:v>中国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</c:lvl>
              </c:multiLvlStrCache>
            </c:multiLvlStrRef>
          </c:cat>
          <c:val>
            <c:numRef>
              <c:f>Sheet5!$D$5:$D$17</c:f>
              <c:numCache>
                <c:formatCode>General</c:formatCode>
                <c:ptCount val="13"/>
                <c:pt idx="0">
                  <c:v>247232</c:v>
                </c:pt>
                <c:pt idx="1">
                  <c:v>243589</c:v>
                </c:pt>
                <c:pt idx="2">
                  <c:v>167569</c:v>
                </c:pt>
                <c:pt idx="3">
                  <c:v>131081</c:v>
                </c:pt>
                <c:pt idx="4">
                  <c:v>45790</c:v>
                </c:pt>
                <c:pt idx="5">
                  <c:v>7823</c:v>
                </c:pt>
                <c:pt idx="6">
                  <c:v>5345</c:v>
                </c:pt>
                <c:pt idx="7">
                  <c:v>3647</c:v>
                </c:pt>
                <c:pt idx="8">
                  <c:v>3210</c:v>
                </c:pt>
                <c:pt idx="9">
                  <c:v>2739</c:v>
                </c:pt>
                <c:pt idx="10">
                  <c:v>1892</c:v>
                </c:pt>
                <c:pt idx="11">
                  <c:v>1592</c:v>
                </c:pt>
                <c:pt idx="12">
                  <c:v>1689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EE-884D-BE30-95E555751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1566143"/>
        <c:axId val="2102322959"/>
      </c:barChart>
      <c:catAx>
        <c:axId val="1071566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322959"/>
        <c:auto val="1"/>
        <c:lblAlgn val="ctr"/>
        <c:lblOffset val="100"/>
        <c:noMultiLvlLbl val="0"/>
      </c:catAx>
      <c:valAx>
        <c:axId val="210232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566143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10</xdr:row>
      <xdr:rowOff>6350</xdr:rowOff>
    </xdr:from>
    <xdr:to>
      <xdr:col>6</xdr:col>
      <xdr:colOff>558800</xdr:colOff>
      <xdr:row>24</xdr:row>
      <xdr:rowOff>82550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5B2FCB9-B768-5249-B691-2DF5CEFFD9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374650</xdr:colOff>
      <xdr:row>12</xdr:row>
      <xdr:rowOff>38100</xdr:rowOff>
    </xdr:from>
    <xdr:to>
      <xdr:col>15</xdr:col>
      <xdr:colOff>330200</xdr:colOff>
      <xdr:row>38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7D2818-5061-F84C-A2B0-3C5A603F0B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8</xdr:row>
      <xdr:rowOff>44450</xdr:rowOff>
    </xdr:from>
    <xdr:to>
      <xdr:col>13</xdr:col>
      <xdr:colOff>660400</xdr:colOff>
      <xdr:row>29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8BF341-B526-4041-B9CA-7F1A9B2CD0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349249</xdr:colOff>
      <xdr:row>0</xdr:row>
      <xdr:rowOff>234950</xdr:rowOff>
    </xdr:from>
    <xdr:to>
      <xdr:col>15</xdr:col>
      <xdr:colOff>376064</xdr:colOff>
      <xdr:row>28</xdr:row>
      <xdr:rowOff>6350</xdr:rowOff>
    </xdr:to>
    <xdr:grpSp>
      <xdr:nvGrpSpPr>
        <xdr:cNvPr id="4" name="グループ化 3">
          <a:extLst>
            <a:ext uri="{FF2B5EF4-FFF2-40B4-BE49-F238E27FC236}">
              <a16:creationId xmlns:a16="http://schemas.microsoft.com/office/drawing/2014/main" id="{3B4D54B9-B153-42E5-9B78-C35EBC4C9D96}"/>
            </a:ext>
          </a:extLst>
        </xdr:cNvPr>
        <xdr:cNvGrpSpPr/>
      </xdr:nvGrpSpPr>
      <xdr:grpSpPr>
        <a:xfrm>
          <a:off x="5149849" y="234950"/>
          <a:ext cx="5627515" cy="6286500"/>
          <a:chOff x="5537199" y="273050"/>
          <a:chExt cx="5627515" cy="6280150"/>
        </a:xfrm>
      </xdr:grpSpPr>
      <xdr:pic>
        <xdr:nvPicPr>
          <xdr:cNvPr id="2" name="図 1">
            <a:extLst>
              <a:ext uri="{FF2B5EF4-FFF2-40B4-BE49-F238E27FC236}">
                <a16:creationId xmlns:a16="http://schemas.microsoft.com/office/drawing/2014/main" id="{FCBF3F72-3810-4BA9-937F-3052EB3F68A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537199" y="273050"/>
            <a:ext cx="5627515" cy="6262197"/>
          </a:xfrm>
          <a:prstGeom prst="rect">
            <a:avLst/>
          </a:prstGeom>
        </xdr:spPr>
      </xdr:pic>
      <xdr:pic>
        <xdr:nvPicPr>
          <xdr:cNvPr id="3" name="図 2">
            <a:extLst>
              <a:ext uri="{FF2B5EF4-FFF2-40B4-BE49-F238E27FC236}">
                <a16:creationId xmlns:a16="http://schemas.microsoft.com/office/drawing/2014/main" id="{5D9BBA72-341E-6292-4460-44D654496E2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473786" y="3441700"/>
            <a:ext cx="4615564" cy="3111500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407834</xdr:colOff>
      <xdr:row>8</xdr:row>
      <xdr:rowOff>115213</xdr:rowOff>
    </xdr:from>
    <xdr:to>
      <xdr:col>9</xdr:col>
      <xdr:colOff>303658</xdr:colOff>
      <xdr:row>25</xdr:row>
      <xdr:rowOff>26629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0690E14-9A12-30A9-45BC-0F69E6C60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7834" y="1590052"/>
          <a:ext cx="5057759" cy="304544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2</xdr:row>
      <xdr:rowOff>6350</xdr:rowOff>
    </xdr:from>
    <xdr:to>
      <xdr:col>13</xdr:col>
      <xdr:colOff>279400</xdr:colOff>
      <xdr:row>24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6084DC-1C21-B844-96FB-B2986E4FFF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234950</xdr:colOff>
      <xdr:row>8</xdr:row>
      <xdr:rowOff>31750</xdr:rowOff>
    </xdr:from>
    <xdr:to>
      <xdr:col>12</xdr:col>
      <xdr:colOff>812800</xdr:colOff>
      <xdr:row>25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29DEB5-F7EA-7848-96D3-17870D4363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46488</xdr:colOff>
      <xdr:row>3</xdr:row>
      <xdr:rowOff>107950</xdr:rowOff>
    </xdr:from>
    <xdr:to>
      <xdr:col>12</xdr:col>
      <xdr:colOff>169212</xdr:colOff>
      <xdr:row>18</xdr:row>
      <xdr:rowOff>899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F812534-C668-D1F4-D78B-BA5E9021A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51888" y="679450"/>
          <a:ext cx="3488224" cy="2750449"/>
        </a:xfrm>
        <a:prstGeom prst="rect">
          <a:avLst/>
        </a:prstGeom>
      </xdr:spPr>
    </xdr:pic>
    <xdr:clientData/>
  </xdr:twoCellAnchor>
  <xdr:twoCellAnchor editAs="oneCell">
    <xdr:from>
      <xdr:col>7</xdr:col>
      <xdr:colOff>419100</xdr:colOff>
      <xdr:row>22</xdr:row>
      <xdr:rowOff>65982</xdr:rowOff>
    </xdr:from>
    <xdr:to>
      <xdr:col>13</xdr:col>
      <xdr:colOff>622599</xdr:colOff>
      <xdr:row>34</xdr:row>
      <xdr:rowOff>45485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A0DC087A-9CA4-7ED2-590B-104D9015A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4256982"/>
          <a:ext cx="4242099" cy="226550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46488</xdr:colOff>
      <xdr:row>4</xdr:row>
      <xdr:rowOff>107950</xdr:rowOff>
    </xdr:from>
    <xdr:to>
      <xdr:col>12</xdr:col>
      <xdr:colOff>232712</xdr:colOff>
      <xdr:row>19</xdr:row>
      <xdr:rowOff>899</xdr:rowOff>
    </xdr:to>
    <xdr:pic>
      <xdr:nvPicPr>
        <xdr:cNvPr id="2" name="図 4">
          <a:extLst>
            <a:ext uri="{FF2B5EF4-FFF2-40B4-BE49-F238E27FC236}">
              <a16:creationId xmlns:a16="http://schemas.microsoft.com/office/drawing/2014/main" id="{996E045B-C7C5-544E-BAF4-442D24E84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51888" y="679450"/>
          <a:ext cx="3488224" cy="2750449"/>
        </a:xfrm>
        <a:prstGeom prst="rect">
          <a:avLst/>
        </a:prstGeom>
      </xdr:spPr>
    </xdr:pic>
    <xdr:clientData/>
  </xdr:twoCellAnchor>
  <xdr:twoCellAnchor>
    <xdr:from>
      <xdr:col>0</xdr:col>
      <xdr:colOff>495300</xdr:colOff>
      <xdr:row>18</xdr:row>
      <xdr:rowOff>146050</xdr:rowOff>
    </xdr:from>
    <xdr:to>
      <xdr:col>6</xdr:col>
      <xdr:colOff>114300</xdr:colOff>
      <xdr:row>33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22DBBB5-3549-B649-A887-F375AC2C9E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25558-B243-4CAD-AA07-266FEEF82195}">
  <dimension ref="A1:E9"/>
  <sheetViews>
    <sheetView topLeftCell="A2" workbookViewId="0">
      <selection activeCell="O16" sqref="O16"/>
    </sheetView>
  </sheetViews>
  <sheetFormatPr baseColWidth="10" defaultColWidth="8.83203125" defaultRowHeight="15"/>
  <sheetData>
    <row r="1" spans="1:5" ht="16">
      <c r="A1" s="4" t="s">
        <v>8</v>
      </c>
    </row>
    <row r="3" spans="1:5">
      <c r="A3" s="2" t="s">
        <v>7</v>
      </c>
      <c r="B3" s="2" t="s">
        <v>6</v>
      </c>
      <c r="C3" s="2" t="s">
        <v>5</v>
      </c>
      <c r="D3" s="2" t="s">
        <v>4</v>
      </c>
      <c r="E3" s="2" t="s">
        <v>1</v>
      </c>
    </row>
    <row r="4" spans="1:5">
      <c r="A4" s="3" t="s">
        <v>3</v>
      </c>
      <c r="B4" s="1">
        <v>25</v>
      </c>
      <c r="C4" s="1">
        <v>12</v>
      </c>
      <c r="D4" s="1">
        <v>23</v>
      </c>
      <c r="E4" s="1">
        <f>SUM(B4:D4)</f>
        <v>60</v>
      </c>
    </row>
    <row r="5" spans="1:5">
      <c r="A5" s="3" t="s">
        <v>2</v>
      </c>
      <c r="B5" s="1">
        <v>10</v>
      </c>
      <c r="C5" s="1">
        <v>25</v>
      </c>
      <c r="D5" s="1">
        <v>13</v>
      </c>
      <c r="E5" s="1">
        <f>SUM(B5:D5)</f>
        <v>48</v>
      </c>
    </row>
    <row r="6" spans="1:5">
      <c r="A6" s="2" t="s">
        <v>1</v>
      </c>
      <c r="B6" s="1">
        <f>SUM(B4:B5)</f>
        <v>35</v>
      </c>
      <c r="C6" s="1">
        <f>SUM(C4:C5)</f>
        <v>37</v>
      </c>
      <c r="D6" s="1">
        <f>SUM(D4:D5)</f>
        <v>36</v>
      </c>
      <c r="E6" s="1">
        <f>SUM(E4:E5)</f>
        <v>108</v>
      </c>
    </row>
    <row r="9" spans="1:5">
      <c r="A9" s="5" t="s">
        <v>9</v>
      </c>
    </row>
  </sheetData>
  <phoneticPr fontId="2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661B9-5586-4F99-9C35-47885684B3CE}">
  <dimension ref="A1:I14"/>
  <sheetViews>
    <sheetView topLeftCell="A8" workbookViewId="0">
      <selection activeCell="A3" sqref="A3:H10"/>
    </sheetView>
  </sheetViews>
  <sheetFormatPr baseColWidth="10" defaultColWidth="8.83203125" defaultRowHeight="15"/>
  <cols>
    <col min="1" max="1" width="22.6640625" customWidth="1"/>
  </cols>
  <sheetData>
    <row r="1" spans="1:9" ht="18">
      <c r="A1" s="33" t="s">
        <v>26</v>
      </c>
      <c r="B1" s="34"/>
      <c r="C1" s="34"/>
      <c r="D1" s="34"/>
      <c r="E1" s="34"/>
      <c r="F1" s="34"/>
      <c r="G1" s="34"/>
      <c r="H1" s="34"/>
      <c r="I1" s="34"/>
    </row>
    <row r="2" spans="1:9" ht="16" thickBot="1">
      <c r="I2" t="s">
        <v>25</v>
      </c>
    </row>
    <row r="3" spans="1:9" ht="16" thickBot="1">
      <c r="A3" s="21" t="s">
        <v>24</v>
      </c>
      <c r="B3" s="20" t="s">
        <v>23</v>
      </c>
      <c r="C3" s="20" t="s">
        <v>22</v>
      </c>
      <c r="D3" s="20" t="s">
        <v>21</v>
      </c>
      <c r="E3" s="20" t="s">
        <v>20</v>
      </c>
      <c r="F3" s="20" t="s">
        <v>19</v>
      </c>
      <c r="G3" s="20" t="s">
        <v>18</v>
      </c>
      <c r="H3" s="19" t="s">
        <v>17</v>
      </c>
      <c r="I3" s="18" t="s">
        <v>0</v>
      </c>
    </row>
    <row r="4" spans="1:9">
      <c r="A4" s="17" t="s">
        <v>16</v>
      </c>
      <c r="B4" s="17">
        <v>268</v>
      </c>
      <c r="C4" s="17">
        <v>326</v>
      </c>
      <c r="D4" s="17">
        <v>214</v>
      </c>
      <c r="E4" s="17">
        <v>126</v>
      </c>
      <c r="F4" s="17">
        <v>164</v>
      </c>
      <c r="G4" s="17">
        <v>26</v>
      </c>
      <c r="H4" s="16">
        <v>7</v>
      </c>
      <c r="I4" s="15">
        <f t="shared" ref="I4:I11" si="0">SUM(B4:H4)</f>
        <v>1131</v>
      </c>
    </row>
    <row r="5" spans="1:9">
      <c r="A5" s="1" t="s">
        <v>15</v>
      </c>
      <c r="B5" s="1">
        <v>32</v>
      </c>
      <c r="C5" s="1">
        <v>298</v>
      </c>
      <c r="D5" s="1">
        <v>889</v>
      </c>
      <c r="E5" s="1">
        <v>526</v>
      </c>
      <c r="F5" s="1">
        <v>212</v>
      </c>
      <c r="G5" s="1">
        <v>201</v>
      </c>
      <c r="H5" s="14">
        <v>2</v>
      </c>
      <c r="I5" s="13">
        <f t="shared" si="0"/>
        <v>2160</v>
      </c>
    </row>
    <row r="6" spans="1:9">
      <c r="A6" s="1" t="s">
        <v>14</v>
      </c>
      <c r="B6" s="1">
        <v>482</v>
      </c>
      <c r="C6" s="1">
        <v>326</v>
      </c>
      <c r="D6" s="1">
        <v>280</v>
      </c>
      <c r="E6" s="1">
        <v>365</v>
      </c>
      <c r="F6" s="1">
        <v>253</v>
      </c>
      <c r="G6" s="1">
        <v>120</v>
      </c>
      <c r="H6" s="14">
        <v>12</v>
      </c>
      <c r="I6" s="13">
        <f t="shared" si="0"/>
        <v>1838</v>
      </c>
    </row>
    <row r="7" spans="1:9">
      <c r="A7" s="1" t="s">
        <v>13</v>
      </c>
      <c r="B7" s="1">
        <v>88</v>
      </c>
      <c r="C7" s="1">
        <v>138</v>
      </c>
      <c r="D7" s="1">
        <v>82</v>
      </c>
      <c r="E7" s="1">
        <v>120</v>
      </c>
      <c r="F7" s="1">
        <v>101</v>
      </c>
      <c r="G7" s="1">
        <v>43</v>
      </c>
      <c r="H7" s="14">
        <v>2</v>
      </c>
      <c r="I7" s="13">
        <f t="shared" si="0"/>
        <v>574</v>
      </c>
    </row>
    <row r="8" spans="1:9">
      <c r="A8" s="1" t="s">
        <v>12</v>
      </c>
      <c r="B8" s="1">
        <v>43</v>
      </c>
      <c r="C8" s="1">
        <v>128</v>
      </c>
      <c r="D8" s="1">
        <v>269</v>
      </c>
      <c r="E8" s="1">
        <v>210</v>
      </c>
      <c r="F8" s="1">
        <v>230</v>
      </c>
      <c r="G8" s="1">
        <v>140</v>
      </c>
      <c r="H8" s="14">
        <v>10</v>
      </c>
      <c r="I8" s="13">
        <f t="shared" si="0"/>
        <v>1030</v>
      </c>
    </row>
    <row r="9" spans="1:9">
      <c r="A9" s="1" t="s">
        <v>11</v>
      </c>
      <c r="B9" s="1">
        <v>235</v>
      </c>
      <c r="C9" s="1">
        <v>256</v>
      </c>
      <c r="D9" s="1">
        <v>78</v>
      </c>
      <c r="E9" s="1">
        <v>102</v>
      </c>
      <c r="F9" s="1">
        <v>88</v>
      </c>
      <c r="G9" s="1">
        <v>25</v>
      </c>
      <c r="H9" s="14">
        <v>11</v>
      </c>
      <c r="I9" s="13">
        <f t="shared" si="0"/>
        <v>795</v>
      </c>
    </row>
    <row r="10" spans="1:9" ht="16" thickBot="1">
      <c r="A10" s="12" t="s">
        <v>10</v>
      </c>
      <c r="B10" s="12">
        <v>23</v>
      </c>
      <c r="C10" s="12">
        <v>325</v>
      </c>
      <c r="D10" s="12">
        <v>589</v>
      </c>
      <c r="E10" s="12">
        <v>524</v>
      </c>
      <c r="F10" s="12">
        <v>238</v>
      </c>
      <c r="G10" s="12">
        <v>221</v>
      </c>
      <c r="H10" s="11">
        <v>25</v>
      </c>
      <c r="I10" s="10">
        <f t="shared" si="0"/>
        <v>1945</v>
      </c>
    </row>
    <row r="11" spans="1:9" ht="16" thickBot="1">
      <c r="A11" s="9" t="s">
        <v>0</v>
      </c>
      <c r="B11" s="8">
        <f t="shared" ref="B11:H11" si="1">SUM(B4:B10)</f>
        <v>1171</v>
      </c>
      <c r="C11" s="8">
        <f t="shared" si="1"/>
        <v>1797</v>
      </c>
      <c r="D11" s="8">
        <f t="shared" si="1"/>
        <v>2401</v>
      </c>
      <c r="E11" s="8">
        <f t="shared" si="1"/>
        <v>1973</v>
      </c>
      <c r="F11" s="8">
        <f t="shared" si="1"/>
        <v>1286</v>
      </c>
      <c r="G11" s="8">
        <f t="shared" si="1"/>
        <v>776</v>
      </c>
      <c r="H11" s="7">
        <f t="shared" si="1"/>
        <v>69</v>
      </c>
      <c r="I11" s="6">
        <f t="shared" si="0"/>
        <v>9473</v>
      </c>
    </row>
    <row r="14" spans="1:9">
      <c r="A14" s="5" t="s">
        <v>27</v>
      </c>
    </row>
  </sheetData>
  <mergeCells count="1">
    <mergeCell ref="A1:I1"/>
  </mergeCells>
  <phoneticPr fontId="2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76E86-D4AF-4E36-BB5A-3907D1A14B5C}">
  <dimension ref="A1:M8"/>
  <sheetViews>
    <sheetView tabSelected="1" topLeftCell="A3" workbookViewId="0">
      <selection activeCell="E5" sqref="E5"/>
    </sheetView>
  </sheetViews>
  <sheetFormatPr baseColWidth="10" defaultColWidth="8.83203125" defaultRowHeight="15"/>
  <cols>
    <col min="2" max="13" width="6.5" customWidth="1"/>
  </cols>
  <sheetData>
    <row r="1" spans="1:13">
      <c r="A1" t="s">
        <v>28</v>
      </c>
    </row>
    <row r="2" spans="1:13">
      <c r="A2" s="1"/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</row>
    <row r="3" spans="1:13">
      <c r="A3" s="1" t="s">
        <v>41</v>
      </c>
      <c r="B3" s="1">
        <v>-3.6</v>
      </c>
      <c r="C3" s="1">
        <v>-3.1</v>
      </c>
      <c r="D3" s="1">
        <v>0.6</v>
      </c>
      <c r="E3" s="1">
        <v>7.1</v>
      </c>
      <c r="F3" s="1">
        <v>12.4</v>
      </c>
      <c r="G3" s="1">
        <v>16.7</v>
      </c>
      <c r="H3" s="1">
        <v>20.5</v>
      </c>
      <c r="I3" s="1">
        <v>22.3</v>
      </c>
      <c r="J3" s="1">
        <v>18.100000000000001</v>
      </c>
      <c r="K3" s="1">
        <v>11.8</v>
      </c>
      <c r="L3" s="1">
        <v>4.9000000000000004</v>
      </c>
      <c r="M3" s="1">
        <v>-0.9</v>
      </c>
    </row>
    <row r="4" spans="1:13">
      <c r="A4" s="1" t="s">
        <v>42</v>
      </c>
      <c r="B4" s="1">
        <v>5.2</v>
      </c>
      <c r="C4" s="1">
        <v>5.7</v>
      </c>
      <c r="D4" s="1">
        <v>8.6999999999999993</v>
      </c>
      <c r="E4" s="1">
        <v>13.9</v>
      </c>
      <c r="F4" s="1">
        <v>18.2</v>
      </c>
      <c r="G4" s="1">
        <v>21.4</v>
      </c>
      <c r="H4" s="1">
        <v>25</v>
      </c>
      <c r="I4" s="1">
        <v>26.4</v>
      </c>
      <c r="J4" s="1">
        <v>22.8</v>
      </c>
      <c r="K4" s="1">
        <v>17.5</v>
      </c>
      <c r="L4" s="1">
        <v>12.1</v>
      </c>
      <c r="M4" s="1">
        <v>7.6</v>
      </c>
    </row>
    <row r="5" spans="1:13">
      <c r="A5" s="1" t="s">
        <v>43</v>
      </c>
      <c r="B5" s="1">
        <v>17</v>
      </c>
      <c r="C5" s="1">
        <v>17.100000000000001</v>
      </c>
      <c r="D5" s="1">
        <v>18.899999999999999</v>
      </c>
      <c r="E5" s="1">
        <v>21.4</v>
      </c>
      <c r="F5" s="1">
        <v>24</v>
      </c>
      <c r="G5" s="1">
        <v>26.8</v>
      </c>
      <c r="H5" s="1">
        <v>28.9</v>
      </c>
      <c r="I5" s="1">
        <v>28.7</v>
      </c>
      <c r="J5" s="1">
        <v>27.6</v>
      </c>
      <c r="K5" s="1">
        <v>25.2</v>
      </c>
      <c r="L5" s="1">
        <v>22.1</v>
      </c>
      <c r="M5" s="1">
        <v>18.7</v>
      </c>
    </row>
    <row r="8" spans="1:13">
      <c r="A8" s="5" t="s">
        <v>44</v>
      </c>
    </row>
  </sheetData>
  <phoneticPr fontId="2"/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3A348-8E9B-4D15-B988-9BFFA2F5A300}">
  <dimension ref="A1:E11"/>
  <sheetViews>
    <sheetView zoomScaleNormal="100" workbookViewId="0">
      <selection activeCell="F12" sqref="A1:F12"/>
    </sheetView>
  </sheetViews>
  <sheetFormatPr baseColWidth="10" defaultColWidth="8.1640625" defaultRowHeight="18"/>
  <cols>
    <col min="1" max="1" width="22.1640625" style="22" customWidth="1"/>
    <col min="2" max="16384" width="8.1640625" style="22"/>
  </cols>
  <sheetData>
    <row r="1" spans="1:5" ht="27">
      <c r="A1" s="26" t="s">
        <v>57</v>
      </c>
    </row>
    <row r="3" spans="1:5">
      <c r="A3" s="24" t="s">
        <v>56</v>
      </c>
      <c r="B3" s="24" t="s">
        <v>55</v>
      </c>
      <c r="C3" s="24" t="s">
        <v>54</v>
      </c>
      <c r="D3" s="24" t="s">
        <v>53</v>
      </c>
      <c r="E3" s="24" t="s">
        <v>45</v>
      </c>
    </row>
    <row r="4" spans="1:5">
      <c r="A4" s="25" t="s">
        <v>52</v>
      </c>
      <c r="B4" s="23">
        <v>12</v>
      </c>
      <c r="C4" s="23">
        <v>15</v>
      </c>
      <c r="D4" s="23">
        <v>12</v>
      </c>
      <c r="E4" s="23">
        <f t="shared" ref="E4:E11" si="0">SUM(B4:D4)</f>
        <v>39</v>
      </c>
    </row>
    <row r="5" spans="1:5">
      <c r="A5" s="25" t="s">
        <v>51</v>
      </c>
      <c r="B5" s="23">
        <v>7</v>
      </c>
      <c r="C5" s="23">
        <v>7</v>
      </c>
      <c r="D5" s="23">
        <v>6</v>
      </c>
      <c r="E5" s="23">
        <f t="shared" si="0"/>
        <v>20</v>
      </c>
    </row>
    <row r="6" spans="1:5">
      <c r="A6" s="25" t="s">
        <v>50</v>
      </c>
      <c r="B6" s="23">
        <v>4</v>
      </c>
      <c r="C6" s="23">
        <v>7</v>
      </c>
      <c r="D6" s="23">
        <v>5</v>
      </c>
      <c r="E6" s="23">
        <f t="shared" si="0"/>
        <v>16</v>
      </c>
    </row>
    <row r="7" spans="1:5">
      <c r="A7" s="25" t="s">
        <v>49</v>
      </c>
      <c r="B7" s="23">
        <v>3</v>
      </c>
      <c r="C7" s="23">
        <v>4</v>
      </c>
      <c r="D7" s="23">
        <v>5</v>
      </c>
      <c r="E7" s="23">
        <f t="shared" si="0"/>
        <v>12</v>
      </c>
    </row>
    <row r="8" spans="1:5">
      <c r="A8" s="25" t="s">
        <v>48</v>
      </c>
      <c r="B8" s="23">
        <v>4</v>
      </c>
      <c r="C8" s="23">
        <v>2</v>
      </c>
      <c r="D8" s="23">
        <v>3</v>
      </c>
      <c r="E8" s="23">
        <f t="shared" si="0"/>
        <v>9</v>
      </c>
    </row>
    <row r="9" spans="1:5">
      <c r="A9" s="25" t="s">
        <v>47</v>
      </c>
      <c r="B9" s="23">
        <v>3</v>
      </c>
      <c r="C9" s="23">
        <v>1</v>
      </c>
      <c r="D9" s="23">
        <v>3</v>
      </c>
      <c r="E9" s="23">
        <f t="shared" si="0"/>
        <v>7</v>
      </c>
    </row>
    <row r="10" spans="1:5">
      <c r="A10" s="25" t="s">
        <v>46</v>
      </c>
      <c r="B10" s="23">
        <v>2</v>
      </c>
      <c r="C10" s="23">
        <v>1</v>
      </c>
      <c r="D10" s="23">
        <v>2</v>
      </c>
      <c r="E10" s="23">
        <f t="shared" si="0"/>
        <v>5</v>
      </c>
    </row>
    <row r="11" spans="1:5">
      <c r="A11" s="24" t="s">
        <v>45</v>
      </c>
      <c r="B11" s="23">
        <f>SUM(B4:B10)</f>
        <v>35</v>
      </c>
      <c r="C11" s="23">
        <f>SUM(C4:C10)</f>
        <v>37</v>
      </c>
      <c r="D11" s="23">
        <f>SUM(D4:D10)</f>
        <v>36</v>
      </c>
      <c r="E11" s="23">
        <f t="shared" si="0"/>
        <v>108</v>
      </c>
    </row>
  </sheetData>
  <phoneticPr fontId="2"/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17FFC-1723-4AD0-A4B5-60443C5F7F8D}">
  <dimension ref="A1:O6"/>
  <sheetViews>
    <sheetView topLeftCell="B5" zoomScale="125" workbookViewId="0">
      <selection activeCell="S2" sqref="A2:S8"/>
    </sheetView>
  </sheetViews>
  <sheetFormatPr baseColWidth="10" defaultColWidth="8.83203125" defaultRowHeight="15"/>
  <cols>
    <col min="1" max="13" width="7.5" customWidth="1"/>
  </cols>
  <sheetData>
    <row r="1" spans="1:15">
      <c r="A1" t="s">
        <v>58</v>
      </c>
    </row>
    <row r="2" spans="1:15">
      <c r="A2" s="1"/>
      <c r="B2" s="1" t="s">
        <v>59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O2" s="5" t="s">
        <v>44</v>
      </c>
    </row>
    <row r="3" spans="1:15">
      <c r="A3" s="1" t="s">
        <v>60</v>
      </c>
      <c r="B3" s="1">
        <v>1.6</v>
      </c>
      <c r="C3" s="1">
        <v>2</v>
      </c>
      <c r="D3" s="1">
        <v>4.9000000000000004</v>
      </c>
      <c r="E3" s="1">
        <v>10.3</v>
      </c>
      <c r="F3" s="1">
        <v>15</v>
      </c>
      <c r="G3" s="1">
        <v>18.5</v>
      </c>
      <c r="H3" s="1">
        <v>22.2</v>
      </c>
      <c r="I3" s="1">
        <v>24.2</v>
      </c>
      <c r="J3" s="1">
        <v>20.7</v>
      </c>
      <c r="K3" s="1">
        <v>15.2</v>
      </c>
      <c r="L3" s="1">
        <v>9.4</v>
      </c>
      <c r="M3" s="1">
        <v>4.5</v>
      </c>
    </row>
    <row r="4" spans="1:15">
      <c r="A4" s="1" t="s">
        <v>61</v>
      </c>
      <c r="B4" s="1">
        <v>5.9</v>
      </c>
      <c r="C4" s="1">
        <v>6.2</v>
      </c>
      <c r="D4" s="1">
        <v>9.1</v>
      </c>
      <c r="E4" s="1">
        <v>14.2</v>
      </c>
      <c r="F4" s="1">
        <v>18.3</v>
      </c>
      <c r="G4" s="1">
        <v>21.3</v>
      </c>
      <c r="H4" s="1">
        <v>25</v>
      </c>
      <c r="I4" s="1">
        <v>26.7</v>
      </c>
      <c r="J4" s="1">
        <v>23.3</v>
      </c>
      <c r="K4" s="1">
        <v>18</v>
      </c>
      <c r="L4" s="1">
        <v>13</v>
      </c>
      <c r="M4" s="1">
        <v>8.5</v>
      </c>
      <c r="O4" s="5" t="s">
        <v>129</v>
      </c>
    </row>
    <row r="5" spans="1:15">
      <c r="A5" s="1" t="s">
        <v>62</v>
      </c>
      <c r="B5" s="1">
        <v>4.5999999999999996</v>
      </c>
      <c r="C5" s="1">
        <v>5.0999999999999996</v>
      </c>
      <c r="D5" s="1">
        <v>8.4</v>
      </c>
      <c r="E5" s="1">
        <v>14.2</v>
      </c>
      <c r="F5" s="1">
        <v>19</v>
      </c>
      <c r="G5" s="1">
        <v>23</v>
      </c>
      <c r="H5" s="1">
        <v>26.8</v>
      </c>
      <c r="I5" s="1">
        <v>28.2</v>
      </c>
      <c r="J5" s="1">
        <v>24.1</v>
      </c>
      <c r="K5" s="1">
        <v>17.8</v>
      </c>
      <c r="L5" s="1">
        <v>12.1</v>
      </c>
      <c r="M5" s="1">
        <v>7</v>
      </c>
    </row>
    <row r="6" spans="1:15">
      <c r="A6" s="1" t="s">
        <v>63</v>
      </c>
      <c r="B6" s="1">
        <v>6.6</v>
      </c>
      <c r="C6" s="1">
        <v>7.4</v>
      </c>
      <c r="D6" s="1">
        <v>10.4</v>
      </c>
      <c r="E6" s="1">
        <v>15.1</v>
      </c>
      <c r="F6" s="1">
        <v>19.399999999999999</v>
      </c>
      <c r="G6" s="1">
        <v>23</v>
      </c>
      <c r="H6" s="1">
        <v>27.2</v>
      </c>
      <c r="I6" s="1">
        <v>28.1</v>
      </c>
      <c r="J6" s="1">
        <v>24.4</v>
      </c>
      <c r="K6" s="1">
        <v>19.2</v>
      </c>
      <c r="L6" s="1">
        <v>13.8</v>
      </c>
      <c r="M6" s="1">
        <v>8.9</v>
      </c>
    </row>
  </sheetData>
  <phoneticPr fontId="2"/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FB6BA-27AF-7F4F-AF8F-E5833CFEFF46}">
  <dimension ref="A1:F12"/>
  <sheetViews>
    <sheetView topLeftCell="B1" workbookViewId="0">
      <selection activeCell="G5" sqref="G5"/>
    </sheetView>
  </sheetViews>
  <sheetFormatPr baseColWidth="10" defaultRowHeight="15"/>
  <sheetData>
    <row r="1" spans="1:6" ht="27">
      <c r="A1" s="26" t="s">
        <v>57</v>
      </c>
      <c r="B1" s="22"/>
      <c r="C1" s="22"/>
      <c r="D1" s="22"/>
      <c r="E1" s="22"/>
      <c r="F1" s="22"/>
    </row>
    <row r="2" spans="1:6" ht="18">
      <c r="A2" s="22"/>
      <c r="B2" s="22"/>
      <c r="C2" s="22"/>
      <c r="D2" s="22"/>
      <c r="E2" s="22"/>
      <c r="F2" s="22"/>
    </row>
    <row r="3" spans="1:6" ht="18">
      <c r="A3" s="24" t="s">
        <v>56</v>
      </c>
      <c r="B3" s="24" t="s">
        <v>55</v>
      </c>
      <c r="C3" s="24" t="s">
        <v>54</v>
      </c>
      <c r="D3" s="24" t="s">
        <v>53</v>
      </c>
      <c r="E3" s="24" t="s">
        <v>45</v>
      </c>
      <c r="F3" s="22"/>
    </row>
    <row r="4" spans="1:6" ht="18">
      <c r="A4" s="25" t="s">
        <v>52</v>
      </c>
      <c r="B4" s="23">
        <v>12</v>
      </c>
      <c r="C4" s="23">
        <v>15</v>
      </c>
      <c r="D4" s="23">
        <v>12</v>
      </c>
      <c r="E4" s="23">
        <f t="shared" ref="E4:E11" si="0">SUM(B4:D4)</f>
        <v>39</v>
      </c>
      <c r="F4" s="22"/>
    </row>
    <row r="5" spans="1:6" ht="18">
      <c r="A5" s="25" t="s">
        <v>51</v>
      </c>
      <c r="B5" s="23">
        <v>7</v>
      </c>
      <c r="C5" s="23">
        <v>7</v>
      </c>
      <c r="D5" s="23">
        <v>6</v>
      </c>
      <c r="E5" s="23">
        <f t="shared" si="0"/>
        <v>20</v>
      </c>
      <c r="F5" s="22"/>
    </row>
    <row r="6" spans="1:6" ht="18">
      <c r="A6" s="25" t="s">
        <v>50</v>
      </c>
      <c r="B6" s="23">
        <v>4</v>
      </c>
      <c r="C6" s="23">
        <v>7</v>
      </c>
      <c r="D6" s="23">
        <v>5</v>
      </c>
      <c r="E6" s="23">
        <f t="shared" si="0"/>
        <v>16</v>
      </c>
      <c r="F6" s="22"/>
    </row>
    <row r="7" spans="1:6" ht="18">
      <c r="A7" s="25" t="s">
        <v>49</v>
      </c>
      <c r="B7" s="23">
        <v>3</v>
      </c>
      <c r="C7" s="23">
        <v>4</v>
      </c>
      <c r="D7" s="23">
        <v>5</v>
      </c>
      <c r="E7" s="23">
        <f t="shared" si="0"/>
        <v>12</v>
      </c>
      <c r="F7" s="22"/>
    </row>
    <row r="8" spans="1:6" ht="18">
      <c r="A8" s="25" t="s">
        <v>48</v>
      </c>
      <c r="B8" s="23">
        <v>4</v>
      </c>
      <c r="C8" s="23">
        <v>2</v>
      </c>
      <c r="D8" s="23">
        <v>3</v>
      </c>
      <c r="E8" s="23">
        <f t="shared" si="0"/>
        <v>9</v>
      </c>
      <c r="F8" s="22"/>
    </row>
    <row r="9" spans="1:6" ht="18">
      <c r="A9" s="25" t="s">
        <v>47</v>
      </c>
      <c r="B9" s="23">
        <v>3</v>
      </c>
      <c r="C9" s="23">
        <v>1</v>
      </c>
      <c r="D9" s="23">
        <v>3</v>
      </c>
      <c r="E9" s="23">
        <f t="shared" si="0"/>
        <v>7</v>
      </c>
      <c r="F9" s="22"/>
    </row>
    <row r="10" spans="1:6" ht="18">
      <c r="A10" s="25" t="s">
        <v>46</v>
      </c>
      <c r="B10" s="23">
        <v>2</v>
      </c>
      <c r="C10" s="23">
        <v>1</v>
      </c>
      <c r="D10" s="23">
        <v>2</v>
      </c>
      <c r="E10" s="23">
        <f t="shared" si="0"/>
        <v>5</v>
      </c>
      <c r="F10" s="22"/>
    </row>
    <row r="11" spans="1:6" ht="18">
      <c r="A11" s="24" t="s">
        <v>45</v>
      </c>
      <c r="B11" s="23">
        <f>SUM(B4:B10)</f>
        <v>35</v>
      </c>
      <c r="C11" s="23">
        <f>SUM(C4:C10)</f>
        <v>37</v>
      </c>
      <c r="D11" s="23">
        <f>SUM(D4:D10)</f>
        <v>36</v>
      </c>
      <c r="E11" s="23">
        <f t="shared" si="0"/>
        <v>108</v>
      </c>
      <c r="F11" s="22"/>
    </row>
    <row r="12" spans="1:6" ht="18">
      <c r="A12" s="22"/>
      <c r="B12" s="22"/>
      <c r="C12" s="22"/>
      <c r="D12" s="22"/>
      <c r="E12" s="22"/>
      <c r="F12" s="22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CC27B-1B17-4BA9-9723-61A61D478480}">
  <sheetPr filterMode="1"/>
  <dimension ref="A1:L20"/>
  <sheetViews>
    <sheetView zoomScaleNormal="100" workbookViewId="0">
      <selection activeCell="B3" sqref="B3:I19"/>
    </sheetView>
  </sheetViews>
  <sheetFormatPr baseColWidth="10" defaultColWidth="8.83203125" defaultRowHeight="15"/>
  <cols>
    <col min="1" max="1" width="3.83203125" customWidth="1"/>
    <col min="2" max="2" width="10" customWidth="1"/>
    <col min="3" max="3" width="15.33203125" customWidth="1"/>
    <col min="4" max="4" width="12.1640625" customWidth="1"/>
    <col min="5" max="5" width="14.5" customWidth="1"/>
    <col min="6" max="6" width="10.83203125" customWidth="1"/>
    <col min="7" max="7" width="15" customWidth="1"/>
    <col min="8" max="8" width="16.5" customWidth="1"/>
    <col min="9" max="9" width="18" customWidth="1"/>
    <col min="10" max="10" width="9" customWidth="1"/>
  </cols>
  <sheetData>
    <row r="1" spans="1:9">
      <c r="A1" s="5" t="s">
        <v>106</v>
      </c>
      <c r="D1" s="5" t="s">
        <v>108</v>
      </c>
      <c r="E1" s="5" t="s">
        <v>107</v>
      </c>
    </row>
    <row r="3" spans="1:9">
      <c r="B3" s="31" t="s">
        <v>105</v>
      </c>
      <c r="C3" s="31" t="s">
        <v>104</v>
      </c>
      <c r="D3" s="31" t="s">
        <v>103</v>
      </c>
      <c r="E3" s="31" t="s">
        <v>102</v>
      </c>
      <c r="F3" s="31" t="s">
        <v>101</v>
      </c>
      <c r="G3" s="31" t="s">
        <v>100</v>
      </c>
      <c r="H3" s="31" t="s">
        <v>99</v>
      </c>
      <c r="I3" s="31" t="s">
        <v>98</v>
      </c>
    </row>
    <row r="4" spans="1:9">
      <c r="B4" s="1" t="s">
        <v>76</v>
      </c>
      <c r="C4" s="1" t="s">
        <v>97</v>
      </c>
      <c r="D4" s="27" t="s">
        <v>65</v>
      </c>
      <c r="E4" s="29">
        <v>600</v>
      </c>
      <c r="F4" s="27"/>
      <c r="G4" s="30"/>
      <c r="H4" s="27" t="s">
        <v>65</v>
      </c>
      <c r="I4" s="1" t="s">
        <v>96</v>
      </c>
    </row>
    <row r="5" spans="1:9">
      <c r="B5" s="1" t="s">
        <v>73</v>
      </c>
      <c r="C5" s="1" t="s">
        <v>95</v>
      </c>
      <c r="D5" s="27" t="s">
        <v>65</v>
      </c>
      <c r="E5" s="29">
        <v>800</v>
      </c>
      <c r="F5" s="27" t="s">
        <v>65</v>
      </c>
      <c r="G5" s="30">
        <v>5000</v>
      </c>
      <c r="H5" s="27" t="s">
        <v>65</v>
      </c>
      <c r="I5" s="1" t="s">
        <v>94</v>
      </c>
    </row>
    <row r="6" spans="1:9">
      <c r="B6" s="1" t="s">
        <v>70</v>
      </c>
      <c r="C6" s="1" t="s">
        <v>93</v>
      </c>
      <c r="D6" s="27" t="s">
        <v>65</v>
      </c>
      <c r="E6" s="29">
        <v>1000</v>
      </c>
      <c r="F6" s="27" t="s">
        <v>65</v>
      </c>
      <c r="G6" s="30">
        <v>3800</v>
      </c>
      <c r="H6" s="27"/>
      <c r="I6" s="1" t="s">
        <v>68</v>
      </c>
    </row>
    <row r="7" spans="1:9">
      <c r="B7" s="1" t="s">
        <v>67</v>
      </c>
      <c r="C7" s="1" t="s">
        <v>92</v>
      </c>
      <c r="D7" s="27" t="s">
        <v>65</v>
      </c>
      <c r="E7" s="29">
        <v>800</v>
      </c>
      <c r="F7" s="27" t="s">
        <v>65</v>
      </c>
      <c r="G7" s="30">
        <v>2500</v>
      </c>
      <c r="H7" s="27"/>
      <c r="I7" s="1" t="s">
        <v>91</v>
      </c>
    </row>
    <row r="8" spans="1:9" hidden="1">
      <c r="B8" s="1" t="s">
        <v>76</v>
      </c>
      <c r="C8" s="1" t="s">
        <v>90</v>
      </c>
      <c r="D8" s="27"/>
      <c r="E8" s="29"/>
      <c r="F8" s="27"/>
      <c r="G8" s="30"/>
      <c r="H8" s="27" t="s">
        <v>65</v>
      </c>
      <c r="I8" s="1" t="s">
        <v>89</v>
      </c>
    </row>
    <row r="9" spans="1:9" hidden="1">
      <c r="B9" s="1" t="s">
        <v>73</v>
      </c>
      <c r="C9" s="1" t="s">
        <v>88</v>
      </c>
      <c r="D9" s="27" t="s">
        <v>65</v>
      </c>
      <c r="E9" s="29">
        <v>1200</v>
      </c>
      <c r="F9" s="27" t="s">
        <v>65</v>
      </c>
      <c r="G9" s="30">
        <v>5000</v>
      </c>
      <c r="H9" s="27" t="s">
        <v>65</v>
      </c>
      <c r="I9" s="1" t="s">
        <v>87</v>
      </c>
    </row>
    <row r="10" spans="1:9" hidden="1">
      <c r="B10" s="1" t="s">
        <v>70</v>
      </c>
      <c r="C10" s="1" t="s">
        <v>86</v>
      </c>
      <c r="D10" s="27"/>
      <c r="E10" s="29"/>
      <c r="F10" s="27" t="s">
        <v>65</v>
      </c>
      <c r="G10" s="30">
        <v>4500</v>
      </c>
      <c r="H10" s="27"/>
      <c r="I10" s="1" t="s">
        <v>85</v>
      </c>
    </row>
    <row r="11" spans="1:9">
      <c r="B11" s="1" t="s">
        <v>67</v>
      </c>
      <c r="C11" s="1" t="s">
        <v>84</v>
      </c>
      <c r="D11" s="27" t="s">
        <v>65</v>
      </c>
      <c r="E11" s="29">
        <v>800</v>
      </c>
      <c r="F11" s="27" t="s">
        <v>65</v>
      </c>
      <c r="G11" s="30">
        <v>3000</v>
      </c>
      <c r="H11" s="27"/>
      <c r="I11" s="1"/>
    </row>
    <row r="12" spans="1:9">
      <c r="B12" s="1" t="s">
        <v>76</v>
      </c>
      <c r="C12" s="1" t="s">
        <v>83</v>
      </c>
      <c r="D12" s="27" t="s">
        <v>65</v>
      </c>
      <c r="E12" s="29">
        <v>700</v>
      </c>
      <c r="F12" s="27"/>
      <c r="G12" s="30"/>
      <c r="H12" s="27" t="s">
        <v>65</v>
      </c>
      <c r="I12" s="1" t="s">
        <v>82</v>
      </c>
    </row>
    <row r="13" spans="1:9">
      <c r="B13" s="1" t="s">
        <v>73</v>
      </c>
      <c r="C13" s="1" t="s">
        <v>81</v>
      </c>
      <c r="D13" s="27" t="s">
        <v>65</v>
      </c>
      <c r="E13" s="29">
        <v>800</v>
      </c>
      <c r="F13" s="27" t="s">
        <v>65</v>
      </c>
      <c r="G13" s="30">
        <v>2500</v>
      </c>
      <c r="H13" s="27" t="s">
        <v>65</v>
      </c>
      <c r="I13" s="1" t="s">
        <v>80</v>
      </c>
    </row>
    <row r="14" spans="1:9" hidden="1">
      <c r="B14" s="1" t="s">
        <v>70</v>
      </c>
      <c r="C14" s="1" t="s">
        <v>79</v>
      </c>
      <c r="D14" s="27"/>
      <c r="E14" s="29"/>
      <c r="F14" s="27" t="s">
        <v>65</v>
      </c>
      <c r="G14" s="30">
        <v>4500</v>
      </c>
      <c r="H14" s="27"/>
      <c r="I14" s="1" t="s">
        <v>78</v>
      </c>
    </row>
    <row r="15" spans="1:9" hidden="1">
      <c r="B15" s="1" t="s">
        <v>67</v>
      </c>
      <c r="C15" s="1" t="s">
        <v>77</v>
      </c>
      <c r="D15" s="27" t="s">
        <v>65</v>
      </c>
      <c r="E15" s="29">
        <v>1200</v>
      </c>
      <c r="F15" s="27" t="s">
        <v>65</v>
      </c>
      <c r="G15" s="30">
        <v>6000</v>
      </c>
      <c r="H15" s="27"/>
      <c r="I15" s="1"/>
    </row>
    <row r="16" spans="1:9" hidden="1">
      <c r="B16" s="1" t="s">
        <v>76</v>
      </c>
      <c r="C16" s="1" t="s">
        <v>75</v>
      </c>
      <c r="D16" s="27"/>
      <c r="E16" s="29"/>
      <c r="F16" s="27"/>
      <c r="G16" s="30"/>
      <c r="H16" s="27" t="s">
        <v>65</v>
      </c>
      <c r="I16" s="1" t="s">
        <v>74</v>
      </c>
    </row>
    <row r="17" spans="2:12">
      <c r="B17" s="1" t="s">
        <v>73</v>
      </c>
      <c r="C17" s="1" t="s">
        <v>72</v>
      </c>
      <c r="D17" s="27" t="s">
        <v>65</v>
      </c>
      <c r="E17" s="29">
        <v>1000</v>
      </c>
      <c r="F17" s="27" t="s">
        <v>65</v>
      </c>
      <c r="G17" s="30">
        <v>5000</v>
      </c>
      <c r="H17" s="27"/>
      <c r="I17" s="1" t="s">
        <v>71</v>
      </c>
    </row>
    <row r="18" spans="2:12" hidden="1">
      <c r="B18" s="1" t="s">
        <v>70</v>
      </c>
      <c r="C18" s="1" t="s">
        <v>69</v>
      </c>
      <c r="D18" s="27"/>
      <c r="E18" s="29"/>
      <c r="F18" s="27" t="s">
        <v>65</v>
      </c>
      <c r="G18" s="30"/>
      <c r="H18" s="27"/>
      <c r="I18" s="1" t="s">
        <v>68</v>
      </c>
    </row>
    <row r="19" spans="2:12">
      <c r="B19" s="1" t="s">
        <v>67</v>
      </c>
      <c r="C19" s="1" t="s">
        <v>66</v>
      </c>
      <c r="D19" s="27" t="s">
        <v>65</v>
      </c>
      <c r="E19" s="29">
        <v>1000</v>
      </c>
      <c r="F19" s="27" t="s">
        <v>65</v>
      </c>
      <c r="G19" s="28">
        <v>3800</v>
      </c>
      <c r="H19" s="27"/>
      <c r="I19" s="1" t="s">
        <v>64</v>
      </c>
    </row>
    <row r="20" spans="2:12">
      <c r="K20" s="5"/>
      <c r="L20" s="5"/>
    </row>
  </sheetData>
  <autoFilter ref="B3:I19" xr:uid="{AAA5AC21-6862-B247-B228-3ACE74DE677E}">
    <filterColumn colId="3">
      <filters>
        <filter val="¥1,000"/>
        <filter val="¥600"/>
        <filter val="¥700"/>
        <filter val="¥800"/>
      </filters>
    </filterColumn>
  </autoFilter>
  <phoneticPr fontId="2"/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775D1-C0ED-DC4F-A100-0B712BC1BA97}">
  <dimension ref="A1:O5"/>
  <sheetViews>
    <sheetView topLeftCell="T1" workbookViewId="0">
      <selection activeCell="O21" sqref="O21"/>
    </sheetView>
  </sheetViews>
  <sheetFormatPr baseColWidth="10" defaultRowHeight="15"/>
  <sheetData>
    <row r="1" spans="1:15">
      <c r="A1" s="1"/>
      <c r="B1" s="1" t="s">
        <v>59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O1" s="5" t="s">
        <v>44</v>
      </c>
    </row>
    <row r="2" spans="1:15">
      <c r="A2" s="1" t="s">
        <v>60</v>
      </c>
      <c r="B2" s="1">
        <v>1.6</v>
      </c>
      <c r="C2" s="1">
        <v>2</v>
      </c>
      <c r="D2" s="1">
        <v>4.9000000000000004</v>
      </c>
      <c r="E2" s="1">
        <v>10.3</v>
      </c>
      <c r="F2" s="1">
        <v>15</v>
      </c>
      <c r="G2" s="1">
        <v>18.5</v>
      </c>
      <c r="H2" s="1">
        <v>22.2</v>
      </c>
      <c r="I2" s="1">
        <v>24.2</v>
      </c>
      <c r="J2" s="1">
        <v>20.7</v>
      </c>
      <c r="K2" s="1">
        <v>15.2</v>
      </c>
      <c r="L2" s="1">
        <v>9.4</v>
      </c>
      <c r="M2" s="1">
        <v>4.5</v>
      </c>
    </row>
    <row r="3" spans="1:15">
      <c r="A3" s="1" t="s">
        <v>61</v>
      </c>
      <c r="B3" s="1">
        <v>5.9</v>
      </c>
      <c r="C3" s="1">
        <v>6.2</v>
      </c>
      <c r="D3" s="1">
        <v>9.1</v>
      </c>
      <c r="E3" s="1">
        <v>14.2</v>
      </c>
      <c r="F3" s="1">
        <v>18.3</v>
      </c>
      <c r="G3" s="1">
        <v>21.3</v>
      </c>
      <c r="H3" s="1">
        <v>25</v>
      </c>
      <c r="I3" s="1">
        <v>26.7</v>
      </c>
      <c r="J3" s="1">
        <v>23.3</v>
      </c>
      <c r="K3" s="1">
        <v>18</v>
      </c>
      <c r="L3" s="1">
        <v>13</v>
      </c>
      <c r="M3" s="1">
        <v>8.5</v>
      </c>
      <c r="O3" s="5" t="s">
        <v>129</v>
      </c>
    </row>
    <row r="4" spans="1:15">
      <c r="A4" s="1" t="s">
        <v>62</v>
      </c>
      <c r="B4" s="1">
        <v>4.5999999999999996</v>
      </c>
      <c r="C4" s="1">
        <v>5.0999999999999996</v>
      </c>
      <c r="D4" s="1">
        <v>8.4</v>
      </c>
      <c r="E4" s="1">
        <v>14.2</v>
      </c>
      <c r="F4" s="1">
        <v>19</v>
      </c>
      <c r="G4" s="1">
        <v>23</v>
      </c>
      <c r="H4" s="1">
        <v>26.8</v>
      </c>
      <c r="I4" s="1">
        <v>28.2</v>
      </c>
      <c r="J4" s="1">
        <v>24.1</v>
      </c>
      <c r="K4" s="1">
        <v>17.8</v>
      </c>
      <c r="L4" s="1">
        <v>12.1</v>
      </c>
      <c r="M4" s="1">
        <v>7</v>
      </c>
    </row>
    <row r="5" spans="1:15">
      <c r="A5" s="1" t="s">
        <v>63</v>
      </c>
      <c r="B5" s="1">
        <v>6.6</v>
      </c>
      <c r="C5" s="1">
        <v>7.4</v>
      </c>
      <c r="D5" s="1">
        <v>10.4</v>
      </c>
      <c r="E5" s="1">
        <v>15.1</v>
      </c>
      <c r="F5" s="1">
        <v>19.399999999999999</v>
      </c>
      <c r="G5" s="1">
        <v>23</v>
      </c>
      <c r="H5" s="1">
        <v>27.2</v>
      </c>
      <c r="I5" s="1">
        <v>28.1</v>
      </c>
      <c r="J5" s="1">
        <v>24.4</v>
      </c>
      <c r="K5" s="1">
        <v>19.2</v>
      </c>
      <c r="L5" s="1">
        <v>13.8</v>
      </c>
      <c r="M5" s="1">
        <v>8.9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83D0A-6171-47B0-9FBB-35ED85B49414}">
  <dimension ref="A1:L22"/>
  <sheetViews>
    <sheetView zoomScaleNormal="100" workbookViewId="0">
      <selection activeCell="K13" sqref="K13"/>
    </sheetView>
  </sheetViews>
  <sheetFormatPr baseColWidth="10" defaultColWidth="8.83203125" defaultRowHeight="15"/>
  <cols>
    <col min="1" max="1" width="3.83203125" customWidth="1"/>
    <col min="2" max="2" width="10" customWidth="1"/>
    <col min="3" max="3" width="15.33203125" customWidth="1"/>
    <col min="4" max="4" width="12.1640625" customWidth="1"/>
    <col min="5" max="5" width="14.5" customWidth="1"/>
    <col min="6" max="6" width="10.83203125" customWidth="1"/>
    <col min="7" max="7" width="15" customWidth="1"/>
    <col min="8" max="8" width="16.5" customWidth="1"/>
    <col min="9" max="9" width="18" customWidth="1"/>
    <col min="10" max="10" width="9" customWidth="1"/>
  </cols>
  <sheetData>
    <row r="1" spans="1:9">
      <c r="A1" s="5" t="s">
        <v>106</v>
      </c>
      <c r="D1" s="5" t="s">
        <v>108</v>
      </c>
      <c r="E1" s="5" t="s">
        <v>109</v>
      </c>
    </row>
    <row r="2" spans="1:9">
      <c r="E2" s="5" t="s">
        <v>110</v>
      </c>
    </row>
    <row r="3" spans="1:9">
      <c r="E3" s="5" t="s">
        <v>111</v>
      </c>
    </row>
    <row r="4" spans="1:9">
      <c r="E4" s="5"/>
    </row>
    <row r="5" spans="1:9">
      <c r="B5" s="31" t="s">
        <v>105</v>
      </c>
      <c r="C5" s="31" t="s">
        <v>104</v>
      </c>
      <c r="D5" s="31" t="s">
        <v>103</v>
      </c>
      <c r="E5" s="31" t="s">
        <v>102</v>
      </c>
      <c r="F5" s="31" t="s">
        <v>101</v>
      </c>
      <c r="G5" s="31" t="s">
        <v>100</v>
      </c>
      <c r="H5" s="31" t="s">
        <v>99</v>
      </c>
      <c r="I5" s="31" t="s">
        <v>98</v>
      </c>
    </row>
    <row r="6" spans="1:9">
      <c r="B6" s="1" t="s">
        <v>76</v>
      </c>
      <c r="C6" s="1" t="s">
        <v>97</v>
      </c>
      <c r="D6" s="27" t="s">
        <v>65</v>
      </c>
      <c r="E6" s="29">
        <v>600</v>
      </c>
      <c r="F6" s="27"/>
      <c r="G6" s="30"/>
      <c r="H6" s="27" t="s">
        <v>65</v>
      </c>
      <c r="I6" s="1" t="s">
        <v>96</v>
      </c>
    </row>
    <row r="7" spans="1:9">
      <c r="B7" s="1" t="s">
        <v>73</v>
      </c>
      <c r="C7" s="1" t="s">
        <v>95</v>
      </c>
      <c r="D7" s="27" t="s">
        <v>65</v>
      </c>
      <c r="E7" s="29">
        <v>800</v>
      </c>
      <c r="F7" s="27" t="s">
        <v>65</v>
      </c>
      <c r="G7" s="30">
        <v>5000</v>
      </c>
      <c r="H7" s="27" t="s">
        <v>65</v>
      </c>
      <c r="I7" s="1" t="s">
        <v>94</v>
      </c>
    </row>
    <row r="8" spans="1:9">
      <c r="B8" s="1" t="s">
        <v>70</v>
      </c>
      <c r="C8" s="1" t="s">
        <v>93</v>
      </c>
      <c r="D8" s="27" t="s">
        <v>65</v>
      </c>
      <c r="E8" s="29">
        <v>1000</v>
      </c>
      <c r="F8" s="27" t="s">
        <v>65</v>
      </c>
      <c r="G8" s="30">
        <v>3800</v>
      </c>
      <c r="H8" s="27"/>
      <c r="I8" s="1" t="s">
        <v>68</v>
      </c>
    </row>
    <row r="9" spans="1:9">
      <c r="B9" s="1" t="s">
        <v>67</v>
      </c>
      <c r="C9" s="1" t="s">
        <v>92</v>
      </c>
      <c r="D9" s="27" t="s">
        <v>65</v>
      </c>
      <c r="E9" s="29">
        <v>800</v>
      </c>
      <c r="F9" s="27" t="s">
        <v>65</v>
      </c>
      <c r="G9" s="30">
        <v>2500</v>
      </c>
      <c r="H9" s="27"/>
      <c r="I9" s="1" t="s">
        <v>91</v>
      </c>
    </row>
    <row r="10" spans="1:9">
      <c r="B10" s="1" t="s">
        <v>76</v>
      </c>
      <c r="C10" s="1" t="s">
        <v>90</v>
      </c>
      <c r="D10" s="27"/>
      <c r="E10" s="29"/>
      <c r="F10" s="27"/>
      <c r="G10" s="30"/>
      <c r="H10" s="27" t="s">
        <v>65</v>
      </c>
      <c r="I10" s="1" t="s">
        <v>89</v>
      </c>
    </row>
    <row r="11" spans="1:9">
      <c r="B11" s="1" t="s">
        <v>73</v>
      </c>
      <c r="C11" s="1" t="s">
        <v>88</v>
      </c>
      <c r="D11" s="27" t="s">
        <v>65</v>
      </c>
      <c r="E11" s="29">
        <v>1200</v>
      </c>
      <c r="F11" s="27" t="s">
        <v>65</v>
      </c>
      <c r="G11" s="30">
        <v>5000</v>
      </c>
      <c r="H11" s="27" t="s">
        <v>65</v>
      </c>
      <c r="I11" s="1" t="s">
        <v>87</v>
      </c>
    </row>
    <row r="12" spans="1:9">
      <c r="B12" s="1" t="s">
        <v>70</v>
      </c>
      <c r="C12" s="1" t="s">
        <v>86</v>
      </c>
      <c r="D12" s="27"/>
      <c r="E12" s="29"/>
      <c r="F12" s="27" t="s">
        <v>65</v>
      </c>
      <c r="G12" s="30">
        <v>4500</v>
      </c>
      <c r="H12" s="27"/>
      <c r="I12" s="1" t="s">
        <v>85</v>
      </c>
    </row>
    <row r="13" spans="1:9">
      <c r="B13" s="1" t="s">
        <v>67</v>
      </c>
      <c r="C13" s="1" t="s">
        <v>84</v>
      </c>
      <c r="D13" s="27" t="s">
        <v>65</v>
      </c>
      <c r="E13" s="29">
        <v>800</v>
      </c>
      <c r="F13" s="27" t="s">
        <v>65</v>
      </c>
      <c r="G13" s="30">
        <v>3000</v>
      </c>
      <c r="H13" s="27"/>
      <c r="I13" s="1"/>
    </row>
    <row r="14" spans="1:9">
      <c r="B14" s="1" t="s">
        <v>76</v>
      </c>
      <c r="C14" s="1" t="s">
        <v>83</v>
      </c>
      <c r="D14" s="27" t="s">
        <v>65</v>
      </c>
      <c r="E14" s="29">
        <v>700</v>
      </c>
      <c r="F14" s="27"/>
      <c r="G14" s="30"/>
      <c r="H14" s="27" t="s">
        <v>65</v>
      </c>
      <c r="I14" s="1" t="s">
        <v>82</v>
      </c>
    </row>
    <row r="15" spans="1:9">
      <c r="B15" s="1" t="s">
        <v>73</v>
      </c>
      <c r="C15" s="1" t="s">
        <v>81</v>
      </c>
      <c r="D15" s="27" t="s">
        <v>65</v>
      </c>
      <c r="E15" s="29">
        <v>800</v>
      </c>
      <c r="F15" s="27" t="s">
        <v>65</v>
      </c>
      <c r="G15" s="30">
        <v>2500</v>
      </c>
      <c r="H15" s="27" t="s">
        <v>65</v>
      </c>
      <c r="I15" s="1" t="s">
        <v>80</v>
      </c>
    </row>
    <row r="16" spans="1:9">
      <c r="B16" s="1" t="s">
        <v>70</v>
      </c>
      <c r="C16" s="1" t="s">
        <v>79</v>
      </c>
      <c r="D16" s="27"/>
      <c r="E16" s="29"/>
      <c r="F16" s="27" t="s">
        <v>65</v>
      </c>
      <c r="G16" s="30">
        <v>4500</v>
      </c>
      <c r="H16" s="27"/>
      <c r="I16" s="1" t="s">
        <v>78</v>
      </c>
    </row>
    <row r="17" spans="2:12">
      <c r="B17" s="1" t="s">
        <v>67</v>
      </c>
      <c r="C17" s="1" t="s">
        <v>77</v>
      </c>
      <c r="D17" s="27" t="s">
        <v>65</v>
      </c>
      <c r="E17" s="29">
        <v>1200</v>
      </c>
      <c r="F17" s="27" t="s">
        <v>65</v>
      </c>
      <c r="G17" s="30">
        <v>6000</v>
      </c>
      <c r="H17" s="27"/>
      <c r="I17" s="1"/>
    </row>
    <row r="18" spans="2:12">
      <c r="B18" s="1" t="s">
        <v>76</v>
      </c>
      <c r="C18" s="1" t="s">
        <v>75</v>
      </c>
      <c r="D18" s="27"/>
      <c r="E18" s="29"/>
      <c r="F18" s="27"/>
      <c r="G18" s="30"/>
      <c r="H18" s="27" t="s">
        <v>65</v>
      </c>
      <c r="I18" s="1" t="s">
        <v>74</v>
      </c>
    </row>
    <row r="19" spans="2:12">
      <c r="B19" s="1" t="s">
        <v>73</v>
      </c>
      <c r="C19" s="1" t="s">
        <v>72</v>
      </c>
      <c r="D19" s="27" t="s">
        <v>65</v>
      </c>
      <c r="E19" s="29">
        <v>1000</v>
      </c>
      <c r="F19" s="27" t="s">
        <v>65</v>
      </c>
      <c r="G19" s="30">
        <v>5000</v>
      </c>
      <c r="H19" s="27"/>
      <c r="I19" s="1" t="s">
        <v>71</v>
      </c>
    </row>
    <row r="20" spans="2:12">
      <c r="B20" s="1" t="s">
        <v>70</v>
      </c>
      <c r="C20" s="1" t="s">
        <v>69</v>
      </c>
      <c r="D20" s="27"/>
      <c r="E20" s="29"/>
      <c r="F20" s="27" t="s">
        <v>65</v>
      </c>
      <c r="G20" s="30"/>
      <c r="H20" s="27"/>
      <c r="I20" s="1" t="s">
        <v>68</v>
      </c>
    </row>
    <row r="21" spans="2:12">
      <c r="B21" s="1" t="s">
        <v>67</v>
      </c>
      <c r="C21" s="1" t="s">
        <v>66</v>
      </c>
      <c r="D21" s="27" t="s">
        <v>65</v>
      </c>
      <c r="E21" s="29">
        <v>1000</v>
      </c>
      <c r="F21" s="27" t="s">
        <v>65</v>
      </c>
      <c r="G21" s="28">
        <v>3800</v>
      </c>
      <c r="H21" s="27"/>
      <c r="I21" s="1" t="s">
        <v>64</v>
      </c>
    </row>
    <row r="22" spans="2:12">
      <c r="K22" s="5"/>
      <c r="L22" s="5"/>
    </row>
  </sheetData>
  <phoneticPr fontId="2"/>
  <pageMargins left="0.7" right="0.7" top="0.75" bottom="0.75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91828-E76F-4F89-BC50-D7D5B92FACC6}">
  <dimension ref="A1:I20"/>
  <sheetViews>
    <sheetView topLeftCell="A3" zoomScale="125" zoomScaleNormal="100" workbookViewId="0">
      <selection activeCell="E16" sqref="E16"/>
    </sheetView>
  </sheetViews>
  <sheetFormatPr baseColWidth="10" defaultColWidth="8.83203125" defaultRowHeight="15"/>
  <cols>
    <col min="3" max="5" width="9.83203125" customWidth="1"/>
    <col min="6" max="6" width="11" customWidth="1"/>
  </cols>
  <sheetData>
    <row r="1" spans="1:9">
      <c r="A1" t="s">
        <v>126</v>
      </c>
    </row>
    <row r="3" spans="1:9">
      <c r="F3" s="32" t="s">
        <v>125</v>
      </c>
      <c r="H3" s="5" t="s">
        <v>127</v>
      </c>
      <c r="I3" s="5" t="s">
        <v>128</v>
      </c>
    </row>
    <row r="4" spans="1:9">
      <c r="A4" t="s">
        <v>124</v>
      </c>
      <c r="B4" t="s">
        <v>123</v>
      </c>
      <c r="C4" t="s">
        <v>122</v>
      </c>
      <c r="D4" t="s">
        <v>121</v>
      </c>
      <c r="E4" t="s">
        <v>1</v>
      </c>
      <c r="F4" t="s">
        <v>120</v>
      </c>
      <c r="H4" s="5" t="s">
        <v>129</v>
      </c>
      <c r="I4" s="5"/>
    </row>
    <row r="5" spans="1:9">
      <c r="A5">
        <v>1</v>
      </c>
      <c r="B5" t="s">
        <v>118</v>
      </c>
      <c r="C5">
        <v>242360</v>
      </c>
      <c r="D5">
        <v>247232</v>
      </c>
      <c r="E5">
        <v>489592</v>
      </c>
    </row>
    <row r="6" spans="1:9">
      <c r="A6">
        <v>2</v>
      </c>
      <c r="B6" t="s">
        <v>119</v>
      </c>
      <c r="C6">
        <v>243148</v>
      </c>
      <c r="D6">
        <v>243589</v>
      </c>
      <c r="E6">
        <v>486737</v>
      </c>
    </row>
    <row r="7" spans="1:9">
      <c r="A7">
        <v>3</v>
      </c>
      <c r="B7" t="s">
        <v>118</v>
      </c>
      <c r="C7">
        <v>157170</v>
      </c>
      <c r="D7">
        <v>167569</v>
      </c>
      <c r="E7">
        <v>324739</v>
      </c>
    </row>
    <row r="8" spans="1:9">
      <c r="A8">
        <v>4</v>
      </c>
      <c r="B8" t="s">
        <v>117</v>
      </c>
      <c r="C8">
        <v>120648</v>
      </c>
      <c r="D8">
        <v>131081</v>
      </c>
      <c r="E8">
        <v>251729</v>
      </c>
    </row>
    <row r="9" spans="1:9">
      <c r="A9">
        <v>5</v>
      </c>
      <c r="B9" t="s">
        <v>114</v>
      </c>
      <c r="C9">
        <v>32040</v>
      </c>
      <c r="D9">
        <v>45790</v>
      </c>
      <c r="E9">
        <v>77830</v>
      </c>
    </row>
    <row r="10" spans="1:9">
      <c r="A10">
        <v>6</v>
      </c>
      <c r="B10" t="s">
        <v>113</v>
      </c>
      <c r="C10">
        <v>5815</v>
      </c>
      <c r="D10">
        <v>7823</v>
      </c>
      <c r="E10">
        <f>SUM(C10:D10)</f>
        <v>13638</v>
      </c>
    </row>
    <row r="11" spans="1:9">
      <c r="A11">
        <v>7</v>
      </c>
      <c r="B11" t="s">
        <v>118</v>
      </c>
      <c r="C11">
        <v>4357</v>
      </c>
      <c r="D11">
        <v>5345</v>
      </c>
      <c r="E11">
        <f>SUM(C11:D11)</f>
        <v>9702</v>
      </c>
    </row>
    <row r="12" spans="1:9">
      <c r="A12">
        <v>8</v>
      </c>
      <c r="B12" t="s">
        <v>117</v>
      </c>
      <c r="C12">
        <v>3895</v>
      </c>
      <c r="D12">
        <v>3647</v>
      </c>
      <c r="E12">
        <f>SUM(C12:D12)</f>
        <v>7542</v>
      </c>
    </row>
    <row r="13" spans="1:9">
      <c r="A13">
        <v>9</v>
      </c>
      <c r="B13" t="s">
        <v>114</v>
      </c>
      <c r="C13">
        <v>2971</v>
      </c>
      <c r="D13">
        <v>3210</v>
      </c>
      <c r="E13">
        <f>SUM(D13)</f>
        <v>3210</v>
      </c>
    </row>
    <row r="14" spans="1:9">
      <c r="A14">
        <v>10</v>
      </c>
      <c r="B14" t="s">
        <v>116</v>
      </c>
      <c r="C14">
        <v>2734</v>
      </c>
      <c r="D14">
        <v>2739</v>
      </c>
      <c r="E14">
        <f>SUM(C14:D14)</f>
        <v>5473</v>
      </c>
    </row>
    <row r="15" spans="1:9">
      <c r="A15">
        <v>11</v>
      </c>
      <c r="B15" t="s">
        <v>115</v>
      </c>
      <c r="C15">
        <v>2018</v>
      </c>
      <c r="D15">
        <v>1892</v>
      </c>
      <c r="E15">
        <f>SUM(C15:D15)</f>
        <v>3910</v>
      </c>
    </row>
    <row r="16" spans="1:9">
      <c r="A16">
        <v>12</v>
      </c>
      <c r="B16" t="s">
        <v>114</v>
      </c>
      <c r="C16">
        <v>1670</v>
      </c>
      <c r="D16">
        <v>1592</v>
      </c>
    </row>
    <row r="17" spans="1:9">
      <c r="A17">
        <v>13</v>
      </c>
      <c r="B17" t="s">
        <v>113</v>
      </c>
      <c r="C17">
        <v>1450</v>
      </c>
      <c r="D17">
        <v>1689</v>
      </c>
    </row>
    <row r="18" spans="1:9">
      <c r="A18" t="s">
        <v>112</v>
      </c>
    </row>
    <row r="19" spans="1:9">
      <c r="H19" s="5" t="s">
        <v>130</v>
      </c>
      <c r="I19" s="5" t="s">
        <v>131</v>
      </c>
    </row>
    <row r="20" spans="1:9">
      <c r="H20" s="5" t="s">
        <v>129</v>
      </c>
    </row>
  </sheetData>
  <phoneticPr fontId="2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E575F-28F2-A749-96E9-21C62857C6AE}">
  <dimension ref="A1:J18"/>
  <sheetViews>
    <sheetView workbookViewId="0">
      <selection activeCell="P11" sqref="P11"/>
    </sheetView>
  </sheetViews>
  <sheetFormatPr baseColWidth="10" defaultRowHeight="15"/>
  <sheetData>
    <row r="1" spans="1:10">
      <c r="A1" t="s">
        <v>126</v>
      </c>
    </row>
    <row r="3" spans="1:10">
      <c r="F3" s="32" t="s">
        <v>125</v>
      </c>
    </row>
    <row r="4" spans="1:10">
      <c r="A4" s="35" t="s">
        <v>124</v>
      </c>
      <c r="B4" s="35" t="s">
        <v>123</v>
      </c>
      <c r="C4" s="35" t="s">
        <v>122</v>
      </c>
      <c r="D4" s="35" t="s">
        <v>121</v>
      </c>
      <c r="E4" s="35" t="s">
        <v>1</v>
      </c>
      <c r="F4" s="35" t="s">
        <v>120</v>
      </c>
      <c r="I4" s="5" t="s">
        <v>127</v>
      </c>
      <c r="J4" s="5" t="s">
        <v>128</v>
      </c>
    </row>
    <row r="5" spans="1:10">
      <c r="A5" s="1">
        <v>1</v>
      </c>
      <c r="B5" s="1" t="s">
        <v>118</v>
      </c>
      <c r="C5" s="1">
        <v>242360</v>
      </c>
      <c r="D5" s="1">
        <v>247232</v>
      </c>
      <c r="E5" s="1">
        <f>SUM(C5:D5)</f>
        <v>489592</v>
      </c>
      <c r="F5" s="1"/>
      <c r="I5" s="5" t="s">
        <v>129</v>
      </c>
      <c r="J5" s="5"/>
    </row>
    <row r="6" spans="1:10">
      <c r="A6" s="1">
        <v>2</v>
      </c>
      <c r="B6" s="1" t="s">
        <v>119</v>
      </c>
      <c r="C6" s="1">
        <v>243148</v>
      </c>
      <c r="D6" s="1">
        <v>243589</v>
      </c>
      <c r="E6" s="1">
        <f>SUM(C6:D6)</f>
        <v>486737</v>
      </c>
      <c r="F6" s="1"/>
    </row>
    <row r="7" spans="1:10">
      <c r="A7" s="1">
        <v>3</v>
      </c>
      <c r="B7" s="1" t="s">
        <v>118</v>
      </c>
      <c r="C7" s="1">
        <v>157170</v>
      </c>
      <c r="D7" s="1">
        <v>167569</v>
      </c>
      <c r="E7" s="1">
        <f>SUM(C7:D7)</f>
        <v>324739</v>
      </c>
      <c r="F7" s="1"/>
    </row>
    <row r="8" spans="1:10">
      <c r="A8" s="1">
        <v>4</v>
      </c>
      <c r="B8" s="1" t="s">
        <v>117</v>
      </c>
      <c r="C8" s="1">
        <v>120648</v>
      </c>
      <c r="D8" s="1">
        <v>131081</v>
      </c>
      <c r="E8" s="1">
        <f>SUM(C8:D8)</f>
        <v>251729</v>
      </c>
      <c r="F8" s="1"/>
    </row>
    <row r="9" spans="1:10">
      <c r="A9" s="1">
        <v>5</v>
      </c>
      <c r="B9" s="1" t="s">
        <v>114</v>
      </c>
      <c r="C9" s="1">
        <v>32040</v>
      </c>
      <c r="D9" s="1">
        <v>45790</v>
      </c>
      <c r="E9" s="1">
        <f>SUM(C9:D9)</f>
        <v>77830</v>
      </c>
      <c r="F9" s="1"/>
    </row>
    <row r="10" spans="1:10">
      <c r="A10" s="1">
        <v>6</v>
      </c>
      <c r="B10" s="1" t="s">
        <v>113</v>
      </c>
      <c r="C10" s="1">
        <v>5815</v>
      </c>
      <c r="D10" s="1">
        <v>7823</v>
      </c>
      <c r="E10" s="1">
        <f>SUM(C10:D10)</f>
        <v>13638</v>
      </c>
      <c r="F10" s="1"/>
    </row>
    <row r="11" spans="1:10">
      <c r="A11" s="1">
        <v>7</v>
      </c>
      <c r="B11" s="1" t="s">
        <v>118</v>
      </c>
      <c r="C11" s="1">
        <v>4357</v>
      </c>
      <c r="D11" s="1">
        <v>5345</v>
      </c>
      <c r="E11" s="1">
        <f>SUM(C11:D11)</f>
        <v>9702</v>
      </c>
      <c r="F11" s="1"/>
    </row>
    <row r="12" spans="1:10">
      <c r="A12" s="1">
        <v>8</v>
      </c>
      <c r="B12" s="1" t="s">
        <v>117</v>
      </c>
      <c r="C12" s="1">
        <v>3895</v>
      </c>
      <c r="D12" s="1">
        <v>3647</v>
      </c>
      <c r="E12" s="1">
        <f>SUM(C12:D12)</f>
        <v>7542</v>
      </c>
      <c r="F12" s="1"/>
    </row>
    <row r="13" spans="1:10">
      <c r="A13" s="1">
        <v>9</v>
      </c>
      <c r="B13" s="1" t="s">
        <v>114</v>
      </c>
      <c r="C13" s="1">
        <v>2971</v>
      </c>
      <c r="D13" s="1">
        <v>3210</v>
      </c>
      <c r="E13" s="1">
        <f>SUM(C13:D13)</f>
        <v>6181</v>
      </c>
      <c r="F13" s="1"/>
    </row>
    <row r="14" spans="1:10">
      <c r="A14" s="1">
        <v>10</v>
      </c>
      <c r="B14" s="1" t="s">
        <v>116</v>
      </c>
      <c r="C14" s="1">
        <v>2734</v>
      </c>
      <c r="D14" s="1">
        <v>2739</v>
      </c>
      <c r="E14" s="1">
        <f>SUM(C14:D14)</f>
        <v>5473</v>
      </c>
      <c r="F14" s="1"/>
    </row>
    <row r="15" spans="1:10">
      <c r="A15" s="1">
        <v>11</v>
      </c>
      <c r="B15" s="1" t="s">
        <v>115</v>
      </c>
      <c r="C15" s="1">
        <v>2018</v>
      </c>
      <c r="D15" s="1">
        <v>1892</v>
      </c>
      <c r="E15" s="1">
        <f>SUM(C15:D15)</f>
        <v>3910</v>
      </c>
      <c r="F15" s="1"/>
    </row>
    <row r="16" spans="1:10">
      <c r="A16" s="1">
        <v>12</v>
      </c>
      <c r="B16" s="1" t="s">
        <v>114</v>
      </c>
      <c r="C16" s="1">
        <v>1670</v>
      </c>
      <c r="D16" s="1">
        <v>1592</v>
      </c>
      <c r="E16" s="1">
        <f>SUM(C16:D16)</f>
        <v>3262</v>
      </c>
      <c r="F16" s="1"/>
    </row>
    <row r="17" spans="1:6">
      <c r="A17" s="1">
        <v>13</v>
      </c>
      <c r="B17" s="1" t="s">
        <v>113</v>
      </c>
      <c r="C17" s="1">
        <v>1450</v>
      </c>
      <c r="D17" s="1">
        <v>1689</v>
      </c>
      <c r="E17" s="1">
        <f>SUM(C17:D17)</f>
        <v>3139</v>
      </c>
      <c r="F17" s="1"/>
    </row>
    <row r="18" spans="1:6">
      <c r="A18" s="35" t="s">
        <v>112</v>
      </c>
      <c r="B18" s="35"/>
      <c r="C18" s="35">
        <f>SUM(C5:C17)</f>
        <v>820276</v>
      </c>
      <c r="D18" s="35">
        <f>SUM(D5:D17)</f>
        <v>863198</v>
      </c>
      <c r="E18" s="35">
        <f>SUM(E5:E17)</f>
        <v>1683474</v>
      </c>
      <c r="F18" s="3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Step1</vt:lpstr>
      <vt:lpstr>Step2</vt:lpstr>
      <vt:lpstr>Step3</vt:lpstr>
      <vt:lpstr>課題１（step4-1）</vt:lpstr>
      <vt:lpstr>課題２（step4-2）</vt:lpstr>
      <vt:lpstr>Sheet3</vt:lpstr>
      <vt:lpstr>Step5</vt:lpstr>
      <vt:lpstr>Sheet4</vt:lpstr>
      <vt:lpstr>Step6</vt:lpstr>
      <vt:lpstr>チャレンジ課題１</vt:lpstr>
      <vt:lpstr>Sheet5</vt:lpstr>
      <vt:lpstr>Step5!Criteria</vt:lpstr>
      <vt:lpstr>Step6!Criteria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長島 匠</dc:creator>
  <cp:lastModifiedBy>Microsoft Office User</cp:lastModifiedBy>
  <dcterms:created xsi:type="dcterms:W3CDTF">2024-07-04T04:30:09Z</dcterms:created>
  <dcterms:modified xsi:type="dcterms:W3CDTF">2026-07-02T01:33:13Z</dcterms:modified>
</cp:coreProperties>
</file>